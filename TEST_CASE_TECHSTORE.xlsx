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echStore\"/>
    </mc:Choice>
  </mc:AlternateContent>
  <xr:revisionPtr revIDLastSave="0" documentId="13_ncr:1_{F05CEABF-0777-423F-B035-D495C53A0D1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over" sheetId="1" r:id="rId1"/>
    <sheet name="TechStore Test Cases" sheetId="2" r:id="rId2"/>
    <sheet name="Test Report" sheetId="3" r:id="rId3"/>
  </sheets>
  <definedNames>
    <definedName name="_xlnm._FilterDatabase" localSheetId="1" hidden="1">'TechStore Test Cases'!$I$1:$I$216</definedName>
  </definedNames>
  <calcPr calcId="191029"/>
</workbook>
</file>

<file path=xl/calcChain.xml><?xml version="1.0" encoding="utf-8"?>
<calcChain xmlns="http://schemas.openxmlformats.org/spreadsheetml/2006/main">
  <c r="G24" i="3" l="1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D7" i="2"/>
  <c r="B7" i="2"/>
  <c r="D6" i="2"/>
  <c r="B6" i="2"/>
  <c r="G26" i="3" l="1"/>
  <c r="E26" i="3"/>
  <c r="D26" i="3"/>
  <c r="F26" i="3"/>
  <c r="E28" i="3" l="1"/>
  <c r="E29" i="3"/>
</calcChain>
</file>

<file path=xl/sharedStrings.xml><?xml version="1.0" encoding="utf-8"?>
<sst xmlns="http://schemas.openxmlformats.org/spreadsheetml/2006/main" count="1215" uniqueCount="1012">
  <si>
    <t>TEST CASE</t>
  </si>
  <si>
    <t>Version:</t>
  </si>
  <si>
    <t>Issue date:</t>
  </si>
  <si>
    <t>Project Name:</t>
  </si>
  <si>
    <t>TechStore - Website bán hàng đồ công nghệ</t>
  </si>
  <si>
    <t>Project Code:</t>
  </si>
  <si>
    <t>TECHSTORE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</si>
  <si>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</si>
  <si>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</si>
  <si>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</si>
  <si>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</si>
  <si>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</si>
  <si>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</si>
  <si>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</si>
  <si>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</si>
  <si>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All modules</t>
  </si>
  <si>
    <t>Tạo bộ test case cho toàn bộ website TechStore</t>
  </si>
  <si>
    <t>Nhóm TechStore</t>
  </si>
  <si>
    <t>Test Leader</t>
  </si>
  <si>
    <t>Test Plan TechStore</t>
  </si>
  <si>
    <t>System Name:</t>
  </si>
  <si>
    <t>TechStore</t>
  </si>
  <si>
    <t>Module Code:</t>
  </si>
  <si>
    <t>TS-ALL - E-commerce website</t>
  </si>
  <si>
    <t>Test requirement:</t>
  </si>
  <si>
    <t>Functional, UI/UX, security, database và compatibility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</si>
  <si>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</si>
  <si>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</si>
  <si>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</si>
  <si>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</si>
  <si>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</si>
  <si>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</si>
  <si>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</si>
  <si>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Output</t>
  </si>
  <si>
    <t>Test date</t>
  </si>
  <si>
    <t>Result</t>
  </si>
  <si>
    <t>Note</t>
  </si>
  <si>
    <t>5.1. Hệ thống và điều hướng</t>
  </si>
  <si>
    <t>SYS-01</t>
  </si>
  <si>
    <t>Mở / và /home.</t>
  </si>
  <si>
    <t>1. Mở TechStore trên môi trường test.
2. Không đăng nhập, trừ khi test case yêu cầu vai trò cụ thể.
3. Thực hiện: Mở / và /home.
4. Ghi nhận UI, HTTP response, log và dữ liệu database liên quan.</t>
  </si>
  <si>
    <t>Vào được trang chủ, HTTP 200, không lỗi font/ảnh.</t>
  </si>
  <si>
    <t>Ưu tiên: P1
HTTP probe: / và /home đều HTTP 200; main.css HTTP 200 (63.586 byte); trang khai báo UTF-8.</t>
  </si>
  <si>
    <t>SYS-02</t>
  </si>
  <si>
    <t>Mở /health khi SQL Server hoạt động.</t>
  </si>
  <si>
    <t>1. Mở TechStore trên môi trường test.
2. Không đăng nhập, trừ khi test case yêu cầu vai trò cụ thể.
3. Thực hiện: Mở /health khi SQL Server hoạt động.
4. Ghi nhận UI, HTTP response, log và dữ liệu database liên quan.</t>
  </si>
  <si>
    <t>Báo ứng dụng và database hoạt động.</t>
  </si>
  <si>
    <t>Ưu tiên: P0
Tomcat sạch trả /health HTTP 200; bộ integration sử dụng SQL Server hoàn tất 36/36 kiểm tra.</t>
  </si>
  <si>
    <t>SYS-03</t>
  </si>
  <si>
    <t>Tắt database rồi mở /health và /home, sau đó bật lại.</t>
  </si>
  <si>
    <t>1. Mở TechStore trên môi trường test.
2. Không đăng nhập, trừ khi test case yêu cầu vai trò cụ thể.
3. Thực hiện: Tắt database rồi mở /health và /home, sau đó bật lại.
4. Ghi nhận UI, HTTP response, log và dữ liệu database liên quan.</t>
  </si>
  <si>
    <t>Health báo lỗi có kiểm soát; trang không lộ stack trace/mật khẩu.</t>
  </si>
  <si>
    <t>Ưu tiên: P1
Batch 1/3 - 15/10/2026 - Pass: Fault-injection trên Tomcat cô lập với DB không truy cập được: /health HTTP 200 báo “Chưa kết nối”, /home HTTP 200 hiển thị cảnh báo có kiểm soát; UI không lộ password, stack trace hoặc exception nội bộ.</t>
  </si>
  <si>
    <t>SYS-04</t>
  </si>
  <si>
    <t>Mở URL không tồn tại.</t>
  </si>
  <si>
    <t>1. Mở TechStore trên môi trường test.
2. Không đăng nhập, trừ khi test case yêu cầu vai trò cụ thể.
3. Thực hiện: Mở URL không tồn tại.
4. Ghi nhận UI, HTTP response, log và dữ liệu database liên quan.</t>
  </si>
  <si>
    <t>HTTP 404 và trang lỗi đúng layout.</t>
  </si>
  <si>
    <t>Ưu tiên: P1
URL không tồn tại trả HTTP 404 và hiển thị trang lỗi có mã 404.</t>
  </si>
  <si>
    <t>SYS-05</t>
  </si>
  <si>
    <t>Mở trực tiếp /WEB-INF/views/home.jsp.</t>
  </si>
  <si>
    <t>1. Mở TechStore trên môi trường test.
2. Không đăng nhập, trừ khi test case yêu cầu vai trò cụ thể.
3. Thực hiện: Mở trực tiếp /WEB-INF/views/home.jsp.
4. Ghi nhận UI, HTTP response, log và dữ liệu database liên quan.</t>
  </si>
  <si>
    <t>Không truy cập trực tiếp được JSP.</t>
  </si>
  <si>
    <t>Ưu tiên: P1
Truy cập trực tiếp /WEB-INF/views/home.jsp trả HTTP 404.</t>
  </si>
  <si>
    <t>SYS-06</t>
  </si>
  <si>
    <t>Đi qua logo, header, menu danh mục, footer, Back/Forward.</t>
  </si>
  <si>
    <t>1. Mở TechStore trên môi trường test.
2. Không đăng nhập, trừ khi test case yêu cầu vai trò cụ thể.
3. Thực hiện: Đi qua logo, header, menu danh mục, footer, Back/Forward.
4. Ghi nhận UI, HTTP response, log và dữ liệu database liên quan.</t>
  </si>
  <si>
    <t>URL, trạng thái menu và lịch sử trình duyệt đúng.</t>
  </si>
  <si>
    <t>Ưu tiên: P2
Batch 1/3 - 15/10/2026 - Pass: logo=/TechStore/home; back=http://localhost:8080/TechStore/home; forward=http://localhost:8080/TechStore/products; header/footer=1/1</t>
  </si>
  <si>
    <t>5.2. Đăng ký, đăng nhập và session</t>
  </si>
  <si>
    <t>AUTH-01</t>
  </si>
  <si>
    <t>Đăng ký với dữ liệu hợp lệ.</t>
  </si>
  <si>
    <t>1. Mở TechStore trên môi trường test.
2. Chuẩn bị tài khoản và dữ liệu authentication theo nội dung test case.
3. Thực hiện: Đăng ký với dữ liệu hợp lệ.
4. Ghi nhận UI, HTTP response, log và dữ liệu database liên quan.</t>
  </si>
  <si>
    <t>Tạo CUSTOMER/ACTIVE, mật khẩu không lưu dạng rõ, chuyển đến đăng nhập.</t>
  </si>
  <si>
    <t>Ưu tiên: P0
Integration test đăng ký thành công, chuyển đến /login; SQL kiểm tra 3/3 mật khẩu đang lưu dạng BCrypt.</t>
  </si>
  <si>
    <t>AUTH-02</t>
  </si>
  <si>
    <t>Nhập email có chữ hoa và khoảng trắng.</t>
  </si>
  <si>
    <t>1. Mở TechStore trên môi trường test.
2. Chuẩn bị tài khoản và dữ liệu authentication theo nội dung test case.
3. Thực hiện: Nhập email có chữ hoa và khoảng trắng.
4. Ghi nhận UI, HTTP response, log và dữ liệu database liên quan.</t>
  </si>
  <si>
    <t>Email được trim, lưu chữ thường và đăng nhập được.</t>
  </si>
  <si>
    <t>Ưu tiên: P1
Batch 1/3 - 15/10/2026 - Pass: DB normalized email/phone/nameLength=codex.batch1.20261015092634.upper@techstore.local|0901234567|16; login=http://localhost:8080/TechStore/home</t>
  </si>
  <si>
    <t>AUTH-03</t>
  </si>
  <si>
    <t>Thử email sai định dạng và email dài quá giới hạn.</t>
  </si>
  <si>
    <t>1. Mở TechStore trên môi trường test.
2. Chuẩn bị tài khoản và dữ liệu authentication theo nội dung test case.
3. Thực hiện: Thử email sai định dạng và email dài quá giới hạn.
4. Ghi nhận UI, HTTP response, log và dữ liệu database liên quan.</t>
  </si>
  <si>
    <t>Hiển thị lỗi, không tạo user.</t>
  </si>
  <si>
    <t>Ưu tiên: P1
Batch 1/3 - 15/10/2026 - Pass: rows=0; invalid/long validation=true/true</t>
  </si>
  <si>
    <t>AUTH-04</t>
  </si>
  <si>
    <t>Đăng ký lại email đã tồn tại, kể cả khác hoa/thường.</t>
  </si>
  <si>
    <t>1. Mở TechStore trên môi trường test.
2. Chuẩn bị tài khoản và dữ liệu authentication theo nội dung test case.
3. Thực hiện: Đăng ký lại email đã tồn tại, kể cả khác hoa/thường.
4. Ghi nhận UI, HTTP response, log và dữ liệu database liên quan.</t>
  </si>
  <si>
    <t>Bị từ chối, không tạo bản ghi trùng.</t>
  </si>
  <si>
    <t>Ưu tiên: P0
Integration test từ chối email trùng; database không tạo thêm bản ghi.</t>
  </si>
  <si>
    <t>AUTH-05</t>
  </si>
  <si>
    <t>Thử họ tên rỗng và dài hơn 150 ký tự.</t>
  </si>
  <si>
    <t>1. Mở TechStore trên môi trường test.
2. Chuẩn bị tài khoản và dữ liệu authentication theo nội dung test case.
3. Thực hiện: Thử họ tên rỗng và dài hơn 150 ký tự.
4. Ghi nhận UI, HTTP response, log và dữ liệu database liên quan.</t>
  </si>
  <si>
    <t>Bị từ chối, giữ dữ liệu form hợp lý.</t>
  </si>
  <si>
    <t>Ưu tiên: P1
Batch 1/3 - 15/10/2026 - Pass: rows=0</t>
  </si>
  <si>
    <t>AUTH-06</t>
  </si>
  <si>
    <t>Thử số điện thoại 090..., định dạng +84, có dấu cách/gạch và số sai.</t>
  </si>
  <si>
    <t>1. Mở TechStore trên môi trường test.
2. Chuẩn bị tài khoản và dữ liệu authentication theo nội dung test case.
3. Thực hiện: Thử số điện thoại 090..., định dạng +84, có dấu cách/gạch và số sai.
4. Ghi nhận UI, HTTP response, log và dữ liệu database liên quan.</t>
  </si>
  <si>
    <t>Chuẩn hóa số hợp lệ; từ chối số không đủ 10 chữ số/bắt đầu sai.</t>
  </si>
  <si>
    <t>Ưu tiên: P1
Batch 1/3 - 15/10/2026 - Pass: p090:0901234567; p84:0901234567; pspace:0901234567; pinvalid:rejected</t>
  </si>
  <si>
    <t>AUTH-07</t>
  </si>
  <si>
    <t>Thử mật khẩu 7, 8, 72, 73 ký tự và xác nhận không khớp.</t>
  </si>
  <si>
    <t>1. Mở TechStore trên môi trường test.
2. Chuẩn bị tài khoản và dữ liệu authentication theo nội dung test case.
3. Thực hiện: Thử mật khẩu 7, 8, 72, 73 ký tự và xác nhận không khớp.
4. Ghi nhận UI, HTTP response, log và dữ liệu database liên quan.</t>
  </si>
  <si>
    <t>Chỉ 8–72 ký tự và xác nhận đúng được chấp nhận.</t>
  </si>
  <si>
    <t>Ưu tiên: P0
Batch 1/3 - 15/10/2026 - Pass: 7:0; 8:1; 72:1; 73:0; mismatch:0</t>
  </si>
  <si>
    <t>AUTH-08</t>
  </si>
  <si>
    <t>Đăng nhập đúng/sai mật khẩu và email không tồn tại.</t>
  </si>
  <si>
    <t>1. Mở TechStore trên môi trường test.
2. Chuẩn bị tài khoản và dữ liệu authentication theo nội dung test case.
3. Thực hiện: Đăng nhập đúng/sai mật khẩu và email không tồn tại.
4. Ghi nhận UI, HTTP response, log và dữ liệu database liên quan.</t>
  </si>
  <si>
    <t>Đúng thì tạo session; sai dùng thông báo chung, không lộ nguyên nhân.</t>
  </si>
  <si>
    <t>Ưu tiên: P0
Integration test đăng nhập đúng tạo session và mật khẩu sai bị từ chối bằng thông báo chung.</t>
  </si>
  <si>
    <t>AUTH-09</t>
  </si>
  <si>
    <t>Khóa user rồi thử đăng nhập.</t>
  </si>
  <si>
    <t>1. Mở TechStore trên môi trường test.
2. Chuẩn bị tài khoản và dữ liệu authentication theo nội dung test case.
3. Thực hiện: Khóa user rồi thử đăng nhập.
4. Ghi nhận UI, HTTP response, log và dữ liệu database liên quan.</t>
  </si>
  <si>
    <t>Không đăng nhập được.</t>
  </si>
  <si>
    <t>Ưu tiên: P0
Batch 1/3 - 15/10/2026 - Pass: loginUrl=http://localhost:8080/TechStore/login; error=true</t>
  </si>
  <si>
    <t>AUTH-10</t>
  </si>
  <si>
    <t>Mở /cart khi chưa đăng nhập, sau đó đăng nhập.</t>
  </si>
  <si>
    <t>1. Mở TechStore trên môi trường test.
2. Chuẩn bị tài khoản và dữ liệu authentication theo nội dung test case.
3. Thực hiện: Mở /cart khi chưa đăng nhập, sau đó đăng nhập.
4. Ghi nhận UI, HTTP response, log và dữ liệu database liên quan.</t>
  </si>
  <si>
    <t>Chuyển về /cart; không mất query string ở URL đã lưu.</t>
  </si>
  <si>
    <t>Ưu tiên: P1
Batch 1/3 - 15/10/2026 - Pass: redirect=http://localhost:8080/TechStore/cart?source=batch1</t>
  </si>
  <si>
    <t>AUTH-11</t>
  </si>
  <si>
    <t>Đăng nhập admin từ trang login bình thường.</t>
  </si>
  <si>
    <t>1. Mở TechStore trên môi trường test.
2. Chuẩn bị tài khoản và dữ liệu authentication theo nội dung test case.
3. Thực hiện: Đăng nhập admin từ trang login bình thường.
4. Ghi nhận UI, HTTP response, log và dữ liệu database liên quan.</t>
  </si>
  <si>
    <t>Chuyển thẳng đến /admin.</t>
  </si>
  <si>
    <t>Ưu tiên: P0
Tài khoản test được gán ADMIN, đăng nhập thành công và mở được /admin cùng bốn trang quản trị, đều HTTP 200.</t>
  </si>
  <si>
    <t>AUTH-12</t>
  </si>
  <si>
    <t>Khách cố mở /admin; người chưa login mở /admin.</t>
  </si>
  <si>
    <t>1. Mở TechStore trên môi trường test.
2. Chuẩn bị tài khoản và dữ liệu authentication theo nội dung test case.
3. Thực hiện: Khách cố mở /admin; người chưa login mở /admin.
4. Ghi nhận UI, HTTP response, log và dữ liệu database liên quan.</t>
  </si>
  <si>
    <t>Khách nhận 403; người chưa login chuyển login rồi về admin nếu đăng nhập admin.</t>
  </si>
  <si>
    <t>Ưu tiên: P0
CUSTOMER nhận HTTP 403 tại admin; người chưa đăng nhập nhận HTTP 302 về /login; ADMIN truy cập được sau đăng nhập.</t>
  </si>
  <si>
    <t>AUTH-13</t>
  </si>
  <si>
    <t>Ghi nhận JSESSIONID trước/sau đăng nhập.</t>
  </si>
  <si>
    <t>1. Mở TechStore trên môi trường test.
2. Chuẩn bị tài khoản và dữ liệu authentication theo nội dung test case.
3. Thực hiện: Ghi nhận JSESSIONID trước/sau đăng nhập.
4. Ghi nhận UI, HTTP response, log và dữ liệu database liên quan.</t>
  </si>
  <si>
    <t>Session ID thay đổi sau đăng nhập.</t>
  </si>
  <si>
    <t>Ưu tiên: P0
Batch 1/3 - 15/10/2026 - Pass: JSESSIONID changed=true</t>
  </si>
  <si>
    <t>AUTH-14</t>
  </si>
  <si>
    <t>Đăng xuất rồi dùng Back hoặc URL bảo vệ.</t>
  </si>
  <si>
    <t>1. Mở TechStore trên môi trường test.
2. Chuẩn bị tài khoản và dữ liệu authentication theo nội dung test case.
3. Thực hiện: Đăng xuất rồi dùng Back hoặc URL bảo vệ.
4. Ghi nhận UI, HTTP response, log và dữ liệu database liên quan.</t>
  </si>
  <si>
    <t>Session hết hiệu lực, quay về login; logout GET không thực hiện được.</t>
  </si>
  <si>
    <t>Ưu tiên: P0
Batch 1/3 - 15/10/2026 - Pass: after logout=http://localhost:8080/TechStore/login; GET /logout=405</t>
  </si>
  <si>
    <t>AUTH-15</t>
  </si>
  <si>
    <t>Không thao tác 30 phút rồi truy cập trang bảo vệ.</t>
  </si>
  <si>
    <t>1. Mở TechStore trên môi trường test.
2. Chuẩn bị tài khoản và dữ liệu authentication theo nội dung test case.
3. Thực hiện: Không thao tác 30 phút rồi truy cập trang bảo vệ.
4. Ghi nhận UI, HTTP response, log và dữ liệu database liên quan.</t>
  </si>
  <si>
    <t>Session hết hạn và yêu cầu đăng nhập lại.</t>
  </si>
  <si>
    <t>Ưu tiên: P1
Batch 1/3 - 15/10/2026 - Pass: Đối chiếu web.xml session-timeout=30 phút và chạy Tomcat StandardSession với idle 31 phút: session bị invalid, trang bảo vệ sẽ yêu cầu đăng nhập lại.</t>
  </si>
  <si>
    <t>5.3. Quên và đặt lại mật khẩu</t>
  </si>
  <si>
    <t>RESET-01</t>
  </si>
  <si>
    <t>Gửi email tồn tại, không tồn tại và sai định dạng.</t>
  </si>
  <si>
    <t>1. Mở TechStore trên môi trường test.
2. Chuẩn bị tài khoản và dữ liệu authentication theo nội dung test case.
3. Thực hiện: Gửi email tồn tại, không tồn tại và sai định dạng.
4. Ghi nhận UI, HTTP response, log và dữ liệu database liên quan.</t>
  </si>
  <si>
    <t>Giao diện luôn trả cùng thông báo chung.</t>
  </si>
  <si>
    <t>Ưu tiên: P1
Batch 1/3 - 15/10/2026 - Pass: generic response present=true/true/true</t>
  </si>
  <si>
    <t>RESET-02</t>
  </si>
  <si>
    <t>Kiểm tra email reset của tài khoản active.</t>
  </si>
  <si>
    <t>1. Mở TechStore trên môi trường test.
2. Chuẩn bị tài khoản và dữ liệu authentication theo nội dung test case.
3. Thực hiện: Kiểm tra email reset của tài khoản active.
4. Ghi nhận UI, HTTP response, log và dữ liệu database liên quan.</t>
  </si>
  <si>
    <t>Link dùng đúng app.url, có token; database chỉ lưu hash, không lưu token thô.</t>
  </si>
  <si>
    <t>Ưu tiên: P0
Batch 1/3 - 15/10/2026 - Pass: mail=true; app.url=true; tokenLength=43; DB stores matching SHA-256 only=true</t>
  </si>
  <si>
    <t>RESET-03</t>
  </si>
  <si>
    <t>Dùng token hợp lệ đổi mật khẩu 8–72 ký tự.</t>
  </si>
  <si>
    <t>1. Mở TechStore trên môi trường test.
2. Chuẩn bị tài khoản và dữ liệu authentication theo nội dung test case.
3. Thực hiện: Dùng token hợp lệ đổi mật khẩu 8–72 ký tự.
4. Ghi nhận UI, HTTP response, log và dữ liệu database liên quan.</t>
  </si>
  <si>
    <t>Đổi thành công; mật khẩu cũ thất bại, mật khẩu mới đăng nhập được.</t>
  </si>
  <si>
    <t>Ưu tiên: P0
Batch 1/3 - 15/10/2026 - Pass: old/new login=http://localhost:8080/TechStore/login/http://localhost:8080/TechStore/home; used=1</t>
  </si>
  <si>
    <t>RESET-04</t>
  </si>
  <si>
    <t>Dùng lại token đã dùng.</t>
  </si>
  <si>
    <t>1. Mở TechStore trên môi trường test.
2. Chuẩn bị tài khoản và dữ liệu authentication theo nội dung test case.
3. Thực hiện: Dùng lại token đã dùng.
4. Ghi nhận UI, HTTP response, log và dữ liệu database liên quan.</t>
  </si>
  <si>
    <t>Bị từ chối.</t>
  </si>
  <si>
    <t>Ưu tiên: P0
Batch 1/3 - 15/10/2026 - Pass: reuse rejected=true</t>
  </si>
  <si>
    <t>RESET-05</t>
  </si>
  <si>
    <t>Dùng token sai, rỗng, quá 200 ký tự hoặc token quá 30 phút.</t>
  </si>
  <si>
    <t>1. Mở TechStore trên môi trường test.
2. Chuẩn bị tài khoản và dữ liệu authentication theo nội dung test case.
3. Thực hiện: Dùng token sai, rỗng, quá 200 ký tự hoặc token quá 30 phút.
4. Ghi nhận UI, HTTP response, log và dữ liệu database liên quan.</t>
  </si>
  <si>
    <t>Bị từ chối bằng thông báo an toàn.</t>
  </si>
  <si>
    <t>Ưu tiên: P0
Batch 1/3 - 15/10/2026 - Pass: HTTP đã từ chối token sai, rỗng và dài 201 ký tự; focused production-service probe xác nhận đủ 4/4 trường hợp, gồm token hết hạn do DAO trả consume=false.</t>
  </si>
  <si>
    <t>RESET-06</t>
  </si>
  <si>
    <t>Yêu cầu link mới khi link cũ còn hiệu lực.</t>
  </si>
  <si>
    <t>1. Mở TechStore trên môi trường test.
2. Chuẩn bị tài khoản và dữ liệu authentication theo nội dung test case.
3. Thực hiện: Yêu cầu link mới khi link cũ còn hiệu lực.
4. Ghi nhận UI, HTTP response, log và dữ liệu database liên quan.</t>
  </si>
  <si>
    <t>Token active cũ bị thay thế/không còn dùng được.</t>
  </si>
  <si>
    <t>Ưu tiên: P1
Batch 1/3 - 15/10/2026 - Pass: active|oldInvalidated=1|1</t>
  </si>
  <si>
    <t>RESET-07</t>
  </si>
  <si>
    <t>Gửi 4 lần trong 15 phút cho cùng tài khoản.</t>
  </si>
  <si>
    <t>1. Mở TechStore trên môi trường test.
2. Chuẩn bị tài khoản và dữ liệu authentication theo nội dung test case.
3. Thực hiện: Gửi 4 lần trong 15 phút cho cùng tài khoản.
4. Ghi nhận UI, HTTP response, log và dữ liệu database liên quan.</t>
  </si>
  <si>
    <t>Tối đa 3 yêu cầu được tạo/gửi; phản hồi không lộ việc bị giới hạn.</t>
  </si>
  <si>
    <t>Ưu tiên: P1
Batch 1/3 - 15/10/2026 - Pass: Đã gửi 4 request HTTP; truy vấn ban đầu dùng SYSDATETIME local trong khi Hibernate lưu UTC nên đếm sai. Focused service probe với cùng rate-window xác nhận chỉ 3/4 token được tạo.</t>
  </si>
  <si>
    <t>RESET-08</t>
  </si>
  <si>
    <t>Gỡ cấu hình mail và thử gửi.</t>
  </si>
  <si>
    <t>1. Mở TechStore trên môi trường test.
2. Chuẩn bị tài khoản và dữ liệu authentication theo nội dung test case.
3. Thực hiện: Gỡ cấu hình mail và thử gửi.
4. Ghi nhận UI, HTTP response, log và dữ liệu database liên quan.</t>
  </si>
  <si>
    <t>Không lộ mật khẩu/stack trace ra UI; token thất bại được vô hiệu hóa.</t>
  </si>
  <si>
    <t>Ưu tiên: P1
Batch 1/3 - 15/10/2026 - Pass: Chạy PasswordResetServiceImpl không có TECHSTORE_MAIL_*: token SHA-256 được tạo rồi invalidate; exception an toàn, không chứa tên biến mật khẩu. ForgotPasswordServlet dùng thông báo chung và không đưa stack trace ra UI.</t>
  </si>
  <si>
    <t>5.4. Trang chủ, catalog và chi tiết sản phẩm</t>
  </si>
  <si>
    <t>CAT-01</t>
  </si>
  <si>
    <t>Mở trang chủ với dữ liệu mẫu.</t>
  </si>
  <si>
    <t>1. Mở TechStore trên môi trường test.
2. Không đăng nhập, trừ khi test case yêu cầu vai trò cụ thể.
3. Thực hiện: Mở trang chủ với dữ liệu mẫu.
4. Ghi nhận UI, HTTP response, log và dữ liệu database liên quan.</t>
  </si>
  <si>
    <t>Hiển thị tối đa 8 sản phẩm mới và tối đa 4 sản phẩm mỗi danh mục có dữ liệu.</t>
  </si>
  <si>
    <t>Ưu tiên: P1
Batch 1/3 - 15/10/2026 - Pass: Trang chủ hiển thị 8 sản phẩm mới; 4 section danh mục lần lượt 4,4,4,4 sản phẩm. Selector ban đầu đếm nhầm block featured thêm một lần.</t>
  </si>
  <si>
    <t>CAT-02</t>
  </si>
  <si>
    <t>Tìm theo tên/từ khóa tiếng Việt, hoa/thường và từ không tồn tại.</t>
  </si>
  <si>
    <t>1. Mở TechStore trên môi trường test.
2. Không đăng nhập, trừ khi test case yêu cầu vai trò cụ thể.
3. Thực hiện: Tìm theo tên/từ khóa tiếng Việt, hoa/thường và từ không tồn tại.
4. Ghi nhận UI, HTTP response, log và dữ liệu database liên quan.</t>
  </si>
  <si>
    <t>Kết quả đúng; trường hợp rỗng có thông báo phù hợp.</t>
  </si>
  <si>
    <t>Ưu tiên: P1
Batch 1/3 - 15/10/2026 - Pass: keyword=Laptop; lower/upper=10/10; emptyState=1</t>
  </si>
  <si>
    <t>CAT-03</t>
  </si>
  <si>
    <t>Lọc riêng và kết hợp danh mục, hãng, giá min/max.</t>
  </si>
  <si>
    <t>1. Mở TechStore trên môi trường test.
2. Không đăng nhập, trừ khi test case yêu cầu vai trò cụ thể.
3. Thực hiện: Lọc riêng và kết hợp danh mục, hãng, giá min/max.
4. Ghi nhận UI, HTTP response, log và dữ liệu database liên quan.</t>
  </si>
  <si>
    <t>Chỉ hiện sản phẩm phù hợp và giữ filter trong URL.</t>
  </si>
  <si>
    <t>Ưu tiên: P1
Batch 1/3 - 15/10/2026 - Pass: cards=2; url=http://localhost:8080/TechStore/products?categoryId=5&amp;brandId=19&amp;minPrice=500000&amp;maxPrice=3000000&amp;sort=price_asc</t>
  </si>
  <si>
    <t>CAT-04</t>
  </si>
  <si>
    <t>Nhập giá âm, min lớn hơn max, chuỗi thay cho số.</t>
  </si>
  <si>
    <t>1. Mở TechStore trên môi trường test.
2. Không đăng nhập, trừ khi test case yêu cầu vai trò cụ thể.
3. Thực hiện: Nhập giá âm, min lớn hơn max, chuỗi thay cho số.
4. Ghi nhận UI, HTTP response, log và dữ liệu database liên quan.</t>
  </si>
  <si>
    <t>Không lỗi 500; báo dữ liệu lọc không hợp lệ.</t>
  </si>
  <si>
    <t>Ưu tiên: P1
Batch 1/3 - 15/10/2026 - Fail: minPrice=-1 và minPrice&gt;maxPrice không bị validation từ chối; minPrice=abc chỉ hiện thông báo chung về kết nối SQL thay vì lỗi dữ liệu lọc. Không có HTTP 500 nhưng chưa đúng expected result.</t>
  </si>
  <si>
    <t>CAT-05</t>
  </si>
  <si>
    <t>Sắp xếp mới nhất, giá tăng, giá giảm trên nhiều trang.</t>
  </si>
  <si>
    <t>1. Mở TechStore trên môi trường test.
2. Không đăng nhập, trừ khi test case yêu cầu vai trò cụ thể.
3. Thực hiện: Sắp xếp mới nhất, giá tăng, giá giảm trên nhiều trang.
4. Ghi nhận UI, HTTP response, log và dữ liệu database liên quan.</t>
  </si>
  <si>
    <t>Thứ tự đúng và không mất filter khi đổi trang.</t>
  </si>
  <si>
    <t>Ưu tiên: P1
Batch 1/3 - 15/10/2026 - Pass: latest:true/24;price_asc:true/24;price_desc:true/24</t>
  </si>
  <si>
    <t>CAT-06</t>
  </si>
  <si>
    <t>Thử page 0, âm, rất lớn và không phải số.</t>
  </si>
  <si>
    <t>1. Mở TechStore trên môi trường test.
2. Không đăng nhập, trừ khi test case yêu cầu vai trò cụ thể.
3. Thực hiện: Thử page 0, âm, rất lớn và không phải số.
4. Ghi nhận UI, HTTP response, log và dữ liệu database liên quan.</t>
  </si>
  <si>
    <t>Chuẩn hóa hoặc hiển thị an toàn, không lỗi 500.</t>
  </si>
  <si>
    <t>Ưu tiên: P1
Batch 1/3 - 15/10/2026 - Pass: 0:200;-2:200;999999:200;abc:200</t>
  </si>
  <si>
    <t>CAT-07</t>
  </si>
  <si>
    <t>Mở chi tiết sản phẩm active bằng slug hợp lệ.</t>
  </si>
  <si>
    <t>1. Mở TechStore trên môi trường test.
2. Không đăng nhập, trừ khi test case yêu cầu vai trò cụ thể.
3. Thực hiện: Mở chi tiết sản phẩm active bằng slug hợp lệ.
4. Ghi nhận UI, HTTP response, log và dữ liệu database liên quan.</t>
  </si>
  <si>
    <t>Ảnh, phiên bản, giá, tồn, mô tả, thông số và liên quan đúng.</t>
  </si>
  <si>
    <t>Ưu tiên: P1
Batch 1/3 - 15/10/2026 - Pass: {"img":1,"variant":1,"price":1,"desc":1,"spec":5,"related":4}</t>
  </si>
  <si>
    <t>CAT-08</t>
  </si>
  <si>
    <t>Mở slug sai, sản phẩm DRAFT/INACTIVE.</t>
  </si>
  <si>
    <t>1. Mở TechStore trên môi trường test.
2. Không đăng nhập, trừ khi test case yêu cầu vai trò cụ thể.
3. Thực hiện: Mở slug sai, sản phẩm DRAFT/INACTIVE.
4. Ghi nhận UI, HTTP response, log và dữ liệu database liên quan.</t>
  </si>
  <si>
    <t>HTTP 404; sản phẩm ẩn không xuất hiện trong catalog.</t>
  </si>
  <si>
    <t>Ưu tiên: P0
Batch 1/3 - 15/10/2026 - Pass: bad=404; hidden=404; listed=false</t>
  </si>
  <si>
    <t>CAT-09</t>
  </si>
  <si>
    <t>Chọn từng phiên bản.</t>
  </si>
  <si>
    <t>1. Mở TechStore trên môi trường test.
2. Không đăng nhập, trừ khi test case yêu cầu vai trò cụ thể.
3. Thực hiện: Chọn từng phiên bản.
4. Ghi nhận UI, HTTP response, log và dữ liệu database liên quan.</t>
  </si>
  <si>
    <t>Giá, giá gốc, giảm giá, tồn kho và ảnh đổi đúng.</t>
  </si>
  <si>
    <t>Ưu tiên: P1
Batch 1/3 - 15/10/2026 - Pass: 1000000/1000000,stock=5/5;2000000/2000000,stock=3/3</t>
  </si>
  <si>
    <t>CAT-10</t>
  </si>
  <si>
    <t>Sản phẩm không ảnh/không thông số/không biến thể khả dụng.</t>
  </si>
  <si>
    <t>1. Mở TechStore trên môi trường test.
2. Không đăng nhập, trừ khi test case yêu cầu vai trò cụ thể.
3. Thực hiện: Sản phẩm không ảnh/không thông số/không biến thể khả dụng.
4. Ghi nhận UI, HTTP response, log và dữ liệu database liên quan.</t>
  </si>
  <si>
    <t>Có placeholder/trạng thái rỗng; nút mua bị vô hiệu đúng.</t>
  </si>
  <si>
    <t>Ưu tiên: P1
Batch 1/3 - 15/10/2026 - Pass: placeholder=/TechStore/assets/images/product-placeholder.svg; contact=true; disabled=true; emptySpec=true</t>
  </si>
  <si>
    <t>CAT-11</t>
  </si>
  <si>
    <t>Phiên bản tồn kho 0 hoặc ngừng bán.</t>
  </si>
  <si>
    <t>1. Mở TechStore trên môi trường test.
2. Không đăng nhập, trừ khi test case yêu cầu vai trò cụ thể.
3. Thực hiện: Phiên bản tồn kho 0 hoặc ngừng bán.
4. Ghi nhận UI, HTTP response, log và dữ liệu database liên quan.</t>
  </si>
  <si>
    <t>Không thể thêm vào giỏ dù sửa request thủ công.</t>
  </si>
  <si>
    <t>Ưu tiên: P1
Batch 1/3 - 15/10/2026 - Pass: inactive/out-of-stock variants blocked=true</t>
  </si>
  <si>
    <t>CAT-12</t>
  </si>
  <si>
    <t>Kiểm tra ký tự HTML/script trong tên/mô tả dữ liệu test.</t>
  </si>
  <si>
    <t>1. Mở TechStore trên môi trường test.
2. Không đăng nhập, trừ khi test case yêu cầu vai trò cụ thể.
3. Thực hiện: Kiểm tra ký tự HTML/script trong tên/mô tả dữ liệu test.
4. Ghi nhận UI, HTTP response, log và dữ liệu database liên quan.</t>
  </si>
  <si>
    <t>Nội dung được escape, script không chạy.</t>
  </si>
  <si>
    <t>Ưu tiên: P2
Batch 1/3 - 15/10/2026 - Pass: dialogs=0; marker=0; h1=&lt;script&gt;window.__techstoreXss=1&lt;/script&gt;</t>
  </si>
  <si>
    <t>5.5. Yêu thích</t>
  </si>
  <si>
    <t>FAV-01</t>
  </si>
  <si>
    <t>Chưa đăng nhập bấm yêu thích.</t>
  </si>
  <si>
    <t>1. Mở TechStore trên môi trường test.
2. Đăng nhập bằng tài khoản CUSTOMER phù hợp; với VNPay dùng sandbox.
3. Thực hiện: Chưa đăng nhập bấm yêu thích.
4. Ghi nhận UI, HTTP response, log và dữ liệu database liên quan.</t>
  </si>
  <si>
    <t>Chuyển đến login.</t>
  </si>
  <si>
    <t>Ưu tiên: P1
HTTP probe khi chưa đăng nhập trả 302 về /login.</t>
  </si>
  <si>
    <t>FAV-02</t>
  </si>
  <si>
    <t>Thêm một sản phẩm từ card/chi tiết.</t>
  </si>
  <si>
    <t>1. Mở TechStore trên môi trường test.
2. Đăng nhập bằng tài khoản CUSTOMER phù hợp; với VNPay dùng sandbox.
3. Thực hiện: Thêm một sản phẩm từ card/chi tiết.
4. Ghi nhận UI, HTTP response, log và dữ liệu database liên quan.</t>
  </si>
  <si>
    <t>Có đúng một dòng favorite; icon/count/header cập nhật.</t>
  </si>
  <si>
    <t>Ưu tiên: P1
Integration test thêm favorite thành công; SQL xác nhận đúng 1 bản ghi và trang favorites render đúng.</t>
  </si>
  <si>
    <t>FAV-03</t>
  </si>
  <si>
    <t>Bấm lại cùng sản phẩm.</t>
  </si>
  <si>
    <t>1. Mở TechStore trên môi trường test.
2. Đăng nhập bằng tài khoản CUSTOMER phù hợp; với VNPay dùng sandbox.
3. Thực hiện: Bấm lại cùng sản phẩm.
4. Ghi nhận UI, HTTP response, log và dữ liệu database liên quan.</t>
  </si>
  <si>
    <t>Bỏ yêu thích, không có bản ghi trùng.</t>
  </si>
  <si>
    <t>Ưu tiên: P1
Batch 1/3 - 15/10/2026 - Pass: rows after double toggle=0</t>
  </si>
  <si>
    <t>FAV-04</t>
  </si>
  <si>
    <t>Trang yêu thích rỗng và có nhiều sản phẩm.</t>
  </si>
  <si>
    <t>1. Mở TechStore trên môi trường test.
2. Đăng nhập bằng tài khoản CUSTOMER phù hợp; với VNPay dùng sandbox.
3. Thực hiện: Trang yêu thích rỗng và có nhiều sản phẩm.
4. Ghi nhận UI, HTTP response, log và dữ liệu database liên quan.</t>
  </si>
  <si>
    <t>Empty state/card hiển thị đúng.</t>
  </si>
  <si>
    <t>Ưu tiên: P1
Batch 1/3 - 15/10/2026 - Pass: empty=true; cards=2</t>
  </si>
  <si>
    <t>FAV-05</t>
  </si>
  <si>
    <t>Sửa productId không tồn tại hoặc gửi favorite của user khác.</t>
  </si>
  <si>
    <t>1. Mở TechStore trên môi trường test.
2. Đăng nhập bằng tài khoản CUSTOMER phù hợp; với VNPay dùng sandbox.
3. Thực hiện: Sửa productId không tồn tại hoặc gửi favorite của user khác.
4. Ghi nhận UI, HTTP response, log và dữ liệu database liên quan.</t>
  </si>
  <si>
    <t>Không lỗi dữ liệu, không tác động tài khoản khác.</t>
  </si>
  <si>
    <t>Ưu tiên: P0
Batch 1/3 - 15/10/2026 - Fail: HTTP=500; controlled=false; userB=0-&gt;0</t>
  </si>
  <si>
    <t>5.6. Giỏ hàng</t>
  </si>
  <si>
    <t>CART-01</t>
  </si>
  <si>
    <t>Thêm một phiên bản với số lượng hợp lệ.</t>
  </si>
  <si>
    <t>1. Mở TechStore trên môi trường test.
2. Đăng nhập bằng tài khoản CUSTOMER phù hợp; với VNPay dùng sandbox.
3. Thực hiện: Thêm một phiên bản với số lượng hợp lệ.
4. Ghi nhận UI, HTTP response, log và dữ liệu database liên quan.</t>
  </si>
  <si>
    <t>Tạo giỏ active/dòng giỏ, count header và tổng tiền đúng.</t>
  </si>
  <si>
    <t>Ưu tiên: P1
Integration test thêm phiên bản hợp lệ; giỏ render HTTP 200 và dữ liệu giỏ được tạo.</t>
  </si>
  <si>
    <t>CART-02</t>
  </si>
  <si>
    <t>Thêm lại cùng SKU nhiều lần.</t>
  </si>
  <si>
    <t>1. Mở TechStore trên môi trường test.
2. Đăng nhập bằng tài khoản CUSTOMER phù hợp; với VNPay dùng sandbox.
3. Thực hiện: Thêm lại cùng SKU nhiều lần.
4. Ghi nhận UI, HTTP response, log và dữ liệu database liên quan.</t>
  </si>
  <si>
    <t>Gộp một dòng và cộng số lượng.</t>
  </si>
  <si>
    <t>Ưu tiên: P1
Thêm cùng SKU hai lần; SQL xác nhận 1 dòng với Quantity = 2.</t>
  </si>
  <si>
    <t>CART-03</t>
  </si>
  <si>
    <t>Thêm/cập nhật số lượng 0, âm, chữ, vượt tồn kho.</t>
  </si>
  <si>
    <t>1. Mở TechStore trên môi trường test.
2. Đăng nhập bằng tài khoản CUSTOMER phù hợp; với VNPay dùng sandbox.
3. Thực hiện: Thêm/cập nhật số lượng 0, âm, chữ, vượt tồn kho.
4. Ghi nhận UI, HTTP response, log và dữ liệu database liên quan.</t>
  </si>
  <si>
    <t>Bị từ chối; dữ liệu cũ không đổi.</t>
  </si>
  <si>
    <t>Ưu tiên: P0
Batch 1/3 - 15/10/2026 - Pass: 0:1;-1:1;abc:1;99:1</t>
  </si>
  <si>
    <t>CART-04</t>
  </si>
  <si>
    <t>Thêm biến thể inactive, sản phẩm inactive hoặc ID không tồn tại.</t>
  </si>
  <si>
    <t>1. Mở TechStore trên môi trường test.
2. Đăng nhập bằng tài khoản CUSTOMER phù hợp; với VNPay dùng sandbox.
3. Thực hiện: Thêm biến thể inactive, sản phẩm inactive hoặc ID không tồn tại.
4. Ghi nhận UI, HTTP response, log và dữ liệu database liên quan.</t>
  </si>
  <si>
    <t>Bị từ chối phía server.</t>
  </si>
  <si>
    <t>Ưu tiên: P0
Batch 1/3 - 15/10/2026 - Pass: inactive product/variant/nonexistent blocked=true</t>
  </si>
  <si>
    <t>CART-05</t>
  </si>
  <si>
    <t>Cập nhật tăng/giảm số lượng bằng nút và nhập trực tiếp.</t>
  </si>
  <si>
    <t>1. Mở TechStore trên môi trường test.
2. Đăng nhập bằng tài khoản CUSTOMER phù hợp; với VNPay dùng sandbox.
3. Thực hiện: Cập nhật tăng/giảm số lượng bằng nút và nhập trực tiếp.
4. Ghi nhận UI, HTTP response, log và dữ liệu database liên quan.</t>
  </si>
  <si>
    <t>Thành tiền dòng/tổng dự kiến cập nhật; phải lưu trước checkout.</t>
  </si>
  <si>
    <t>Ưu tiên: P1
Batch 1/3 - 15/10/2026 - Pass: qty 1-&gt;2; dirty=true; DB=2</t>
  </si>
  <si>
    <t>CART-06</t>
  </si>
  <si>
    <t>Xóa một dòng và dòng cuối cùng.</t>
  </si>
  <si>
    <t>1. Mở TechStore trên môi trường test.
2. Đăng nhập bằng tài khoản CUSTOMER phù hợp; với VNPay dùng sandbox.
3. Thực hiện: Xóa một dòng và dòng cuối cùng.
4. Ghi nhận UI, HTTP response, log và dữ liệu database liên quan.</t>
  </si>
  <si>
    <t>Dòng bị xóa; giỏ rỗng có empty state.</t>
  </si>
  <si>
    <t>Ưu tiên: P1
Batch 1/3 - 15/10/2026 - Pass: after one=1; after last=0; emptyState=true</t>
  </si>
  <si>
    <t>CART-07</t>
  </si>
  <si>
    <t>Khách A sửa request với variant trong giỏ Khách B.</t>
  </si>
  <si>
    <t>1. Mở TechStore trên môi trường test.
2. Đăng nhập bằng tài khoản CUSTOMER phù hợp; với VNPay dùng sandbox.
3. Thực hiện: Khách A sửa request với variant trong giỏ Khách B.
4. Ghi nhận UI, HTTP response, log và dữ liệu database liên quan.</t>
  </si>
  <si>
    <t>Giỏ B không thay đổi.</t>
  </si>
  <si>
    <t>Ưu tiên: P0
Batch 1/3 - 15/10/2026 - Pass: userB quantity=2-&gt;2</t>
  </si>
  <si>
    <t>CART-08</t>
  </si>
  <si>
    <t>Admin giảm tồn kho dưới số lượng đang nằm trong giỏ rồi checkout.</t>
  </si>
  <si>
    <t>1. Mở TechStore trên môi trường test.
2. Đăng nhập bằng tài khoản CUSTOMER phù hợp; với VNPay dùng sandbox.
3. Thực hiện: Admin giảm tồn kho dưới số lượng đang nằm trong giỏ rồi checkout.
4. Ghi nhận UI, HTTP response, log và dữ liệu database liên quan.</t>
  </si>
  <si>
    <t>Checkout chặn và không tạo đơn/trừ kho.</t>
  </si>
  <si>
    <t>Ưu tiên: P0
Batch 1/3 - 15/10/2026 - Pass: orders=0-&gt;0; stock=1; blocked=true</t>
  </si>
  <si>
    <t>CART-09</t>
  </si>
  <si>
    <t>Đổi giá sản phẩm sau khi đã thêm giỏ.</t>
  </si>
  <si>
    <t>1. Mở TechStore trên môi trường test.
2. Đăng nhập bằng tài khoản CUSTOMER phù hợp; với VNPay dùng sandbox.
3. Thực hiện: Đổi giá sản phẩm sau khi đã thêm giỏ.
4. Ghi nhận UI, HTTP response, log và dữ liệu database liên quan.</t>
  </si>
  <si>
    <t>Giỏ/checkout dùng giá server hiện hành; không tin giá gửi từ client.</t>
  </si>
  <si>
    <t>Ưu tiên: P1
Batch 1/3 - 15/10/2026 - Pass: Live flow đã đổi giá trực tiếp trong DB sau khi thêm giỏ rồi reload cart; CartServlet/CartItemDAO tải ProductVariant từ server, data-unit-price và checkout lấy giá hiện hành. Assertion cũ chỉ sai do kiểm tra chuỗi tiền theo locale.</t>
  </si>
  <si>
    <t>CART-10</t>
  </si>
  <si>
    <t>Đặt hàng xong rồi mở giỏ.</t>
  </si>
  <si>
    <t>1. Mở TechStore trên môi trường test.
2. Đăng nhập bằng tài khoản CUSTOMER phù hợp; với VNPay dùng sandbox.
3. Thực hiện: Đặt hàng xong rồi mở giỏ.
4. Ghi nhận UI, HTTP response, log và dữ liệu database liên quan.</t>
  </si>
  <si>
    <t>Giỏ cũ thành ORDERED, giỏ active mới/rỗng được dùng.</t>
  </si>
  <si>
    <t>Ưu tiên: P1
Batch 1/3 - 15/10/2026 - Pass: redirect=http://localhost:8080/TechStore/orders/detail?code=TS202610151630240B3BDE; latestCart=ORDERED; activeItems=0</t>
  </si>
  <si>
    <t>5.7. Hồ sơ và địa chỉ</t>
  </si>
  <si>
    <t>ACC-01</t>
  </si>
  <si>
    <t>Sửa họ tên và số điện thoại hợp lệ.</t>
  </si>
  <si>
    <t>1. Mở TechStore trên môi trường test.
2. Đăng nhập bằng tài khoản CUSTOMER phù hợp; với VNPay dùng sandbox.
3. Thực hiện: Sửa họ tên và số điện thoại hợp lệ.
4. Ghi nhận UI, HTTP response, log và dữ liệu database liên quan.</t>
  </si>
  <si>
    <t>Database và tên trên header/session cập nhật.</t>
  </si>
  <si>
    <t>Ưu tiên: P1
Batch 1/3 - 15/10/2026 - Pass: POST hồ sơ thành công; header/session hiển thị tên mới và DB lưu phone 0901234568. Chuỗi tên SQL ở log bị mojibake do console sqlcmd, không phải dữ liệu web.</t>
  </si>
  <si>
    <t>ACC-02</t>
  </si>
  <si>
    <t>Họ tên rỗng/quá 150 và điện thoại sai.</t>
  </si>
  <si>
    <t>1. Mở TechStore trên môi trường test.
2. Đăng nhập bằng tài khoản CUSTOMER phù hợp; với VNPay dùng sandbox.
3. Thực hiện: Họ tên rỗng/quá 150 và điện thoại sai.
4. Ghi nhận UI, HTTP response, log và dữ liệu database liên quan.</t>
  </si>
  <si>
    <t>Bị từ chối, không ghi dữ liệu lỗi.</t>
  </si>
  <si>
    <t>Ưu tiên: P1
Batch 1/3 - 15/10/2026 - Pass: validation=true; DB unchanged=true</t>
  </si>
  <si>
    <t>ACC-03</t>
  </si>
  <si>
    <t>Đổi mật khẩu với mật khẩu hiện tại đúng.</t>
  </si>
  <si>
    <t>1. Mở TechStore trên môi trường test.
2. Đăng nhập bằng tài khoản CUSTOMER phù hợp; với VNPay dùng sandbox.
3. Thực hiện: Đổi mật khẩu với mật khẩu hiện tại đúng.
4. Ghi nhận UI, HTTP response, log và dữ liệu database liên quan.</t>
  </si>
  <si>
    <t>Thành công, session ID đổi, đăng nhập bằng mật khẩu mới được.</t>
  </si>
  <si>
    <t>Ưu tiên: P0
Batch 1/3 - 15/10/2026 - Pass: sessionChanged=true; newLogin=http://localhost:8080/TechStore/home</t>
  </si>
  <si>
    <t>ACC-04</t>
  </si>
  <si>
    <t>Mật khẩu hiện tại sai, mật khẩu mới trùng cũ, xác nhận sai, dài 7/73.</t>
  </si>
  <si>
    <t>1. Mở TechStore trên môi trường test.
2. Đăng nhập bằng tài khoản CUSTOMER phù hợp; với VNPay dùng sandbox.
3. Thực hiện: Mật khẩu hiện tại sai, mật khẩu mới trùng cũ, xác nhận sai, dài 7/73.
4. Ghi nhận UI, HTTP response, log và dữ liệu database liên quan.</t>
  </si>
  <si>
    <t>Bị từ chối đúng lý do, hash không đổi.</t>
  </si>
  <si>
    <t>Ưu tiên: P0
Batch 1/3 - 15/10/2026 - Pass: all rejected=true; hash unchanged=true</t>
  </si>
  <si>
    <t>ADDR-01</t>
  </si>
  <si>
    <t>Thêm địa chỉ đủ trường và điện thoại hợp lệ.</t>
  </si>
  <si>
    <t>1. Mở TechStore trên môi trường test.
2. Đăng nhập bằng tài khoản CUSTOMER phù hợp; với VNPay dùng sandbox.
3. Thực hiện: Thêm địa chỉ đủ trường và điện thoại hợp lệ.
4. Ghi nhận UI, HTTP response, log và dữ liệu database liên quan.</t>
  </si>
  <si>
    <t>Địa chỉ được lưu cho đúng user.</t>
  </si>
  <si>
    <t>Ưu tiên: P1
Batch 1/3 - 15/10/2026 - Pass: addressId=1; owner/phone=codex.batch1.20261015092634.userb@techstore.local|0901234569</t>
  </si>
  <si>
    <t>ADDR-02</t>
  </si>
  <si>
    <t>Bỏ trống từng trường, vượt giới hạn và điện thoại sai.</t>
  </si>
  <si>
    <t>1. Mở TechStore trên môi trường test.
2. Đăng nhập bằng tài khoản CUSTOMER phù hợp; với VNPay dùng sandbox.
3. Thực hiện: Bỏ trống từng trường, vượt giới hạn và điện thoại sai.
4. Ghi nhận UI, HTTP response, log và dữ liệu database liên quan.</t>
  </si>
  <si>
    <t>Hiển thị validation, không tạo dữ liệu rác.</t>
  </si>
  <si>
    <t>Ưu tiên: P1
Batch 1/3 - 15/10/2026 - Pass: validation=true; rows=1-&gt;1</t>
  </si>
  <si>
    <t>ADDR-03</t>
  </si>
  <si>
    <t>Sửa rồi xóa địa chỉ của chính mình.</t>
  </si>
  <si>
    <t>1. Mở TechStore trên môi trường test.
2. Đăng nhập bằng tài khoản CUSTOMER phù hợp; với VNPay dùng sandbox.
3. Thực hiện: Sửa rồi xóa địa chỉ của chính mình.
4. Ghi nhận UI, HTTP response, log và dữ liệu database liên quan.</t>
  </si>
  <si>
    <t>Thay đổi đúng; danh sách và checkout cập nhật.</t>
  </si>
  <si>
    <t>Ưu tiên: P1
Batch 1/3 - 15/10/2026 - Pass: Địa chỉ được cập nhật đúng district Q3/address line mới rồi xóa; số dòng AddressId sau xóa bằng 0. Dấu tiếng Việt chỉ mojibake tại output sqlcmd.</t>
  </si>
  <si>
    <t>ADDR-04</t>
  </si>
  <si>
    <t>Đặt địa chỉ mặc định lần lượt cho hai địa chỉ.</t>
  </si>
  <si>
    <t>1. Mở TechStore trên môi trường test.
2. Đăng nhập bằng tài khoản CUSTOMER phù hợp; với VNPay dùng sandbox.
3. Thực hiện: Đặt địa chỉ mặc định lần lượt cho hai địa chỉ.
4. Ghi nhận UI, HTTP response, log và dữ liệu database liên quan.</t>
  </si>
  <si>
    <t>Mỗi user chỉ có tối đa một địa chỉ mặc định.</t>
  </si>
  <si>
    <t>Ưu tiên: P1
Batch 2/3 - 15/10/2026 - Pass: DefaultCount:Id=1:12</t>
  </si>
  <si>
    <t>ADDR-05</t>
  </si>
  <si>
    <t>Khách A sửa/xóa/default địa chỉ của Khách B bằng ID thủ công.</t>
  </si>
  <si>
    <t>1. Mở TechStore trên môi trường test.
2. Đăng nhập bằng tài khoản CUSTOMER phù hợp; với VNPay dùng sandbox.
3. Thực hiện: Khách A sửa/xóa/default địa chỉ của Khách B bằng ID thủ công.
4. Ghi nhận UI, HTTP response, log và dữ liệu database liên quan.</t>
  </si>
  <si>
    <t>Bị từ chối; dữ liệu B không đổi.</t>
  </si>
  <si>
    <t>Ưu tiên: P0
Batch 2/3 - 15/10/2026 - Pass: B unchanged=True</t>
  </si>
  <si>
    <t>ADDR-06</t>
  </si>
  <si>
    <t>Xóa địa chỉ mặc định rồi mở checkout.</t>
  </si>
  <si>
    <t>1. Mở TechStore trên môi trường test.
2. Đăng nhập bằng tài khoản CUSTOMER phù hợp; với VNPay dùng sandbox.
3. Thực hiện: Xóa địa chỉ mặc định rồi mở checkout.
4. Ghi nhận UI, HTTP response, log và dữ liệu database liên quan.</t>
  </si>
  <si>
    <t>Không lỗi; chọn địa chỉ còn lại hoặc form nhập mới.</t>
  </si>
  <si>
    <t>Ưu tiên: P1
Batch 2/3 - 15/10/2026 - Pass: HTTP=200; selectedRemaining=True</t>
  </si>
  <si>
    <t>5.8. Checkout COD và tạo đơn</t>
  </si>
  <si>
    <t>CHK-01</t>
  </si>
  <si>
    <t>Mở checkout khi chưa đăng nhập hoặc giỏ rỗng.</t>
  </si>
  <si>
    <t>1. Mở TechStore trên môi trường test.
2. Đăng nhập bằng tài khoản CUSTOMER phù hợp; với VNPay dùng sandbox.
3. Thực hiện: Mở checkout khi chưa đăng nhập hoặc giỏ rỗng.
4. Ghi nhận UI, HTTP response, log và dữ liệu database liên quan.</t>
  </si>
  <si>
    <t>Chuyển login hoặc giỏ với thông báo phù hợp.</t>
  </si>
  <si>
    <t>Ưu tiên: P0
Batch 2/3 - 15/10/2026 - Pass: guest=http://localhost:8080/TechStore/login; empty=http://localhost:8080/TechStore/cart</t>
  </si>
  <si>
    <t>CHK-02</t>
  </si>
  <si>
    <t>Có địa chỉ mặc định rồi mở checkout.</t>
  </si>
  <si>
    <t>1. Mở TechStore trên môi trường test.
2. Đăng nhập bằng tài khoản CUSTOMER phù hợp; với VNPay dùng sandbox.
3. Thực hiện: Có địa chỉ mặc định rồi mở checkout.
4. Ghi nhận UI, HTTP response, log và dữ liệu database liên quan.</t>
  </si>
  <si>
    <t>Tự chọn địa chỉ mặc định; nếu không có chọn địa chỉ đầu tiên/form mới.</t>
  </si>
  <si>
    <t>Ưu tiên: P1
Batch 2/3 - 15/10/2026 - Pass: selected=11</t>
  </si>
  <si>
    <t>CHK-03</t>
  </si>
  <si>
    <t>Chèn addressId của Khách B.</t>
  </si>
  <si>
    <t>1. Mở TechStore trên môi trường test.
2. Đăng nhập bằng tài khoản CUSTOMER phù hợp; với VNPay dùng sandbox.
3. Thực hiện: Chèn addressId của Khách B.
4. Ghi nhận UI, HTTP response, log và dữ liệu database liên quan.</t>
  </si>
  <si>
    <t>Server bỏ/từ chối ID, không dùng địa chỉ B.</t>
  </si>
  <si>
    <t>Ưu tiên: P0
Batch 2/3 - 15/10/2026 - Pass: orders=0-&gt;0</t>
  </si>
  <si>
    <t>CHK-04</t>
  </si>
  <si>
    <t>Đặt COD bằng địa chỉ lưu hợp lệ.</t>
  </si>
  <si>
    <t>1. Mở TechStore trên môi trường test.
2. Đăng nhập bằng tài khoản CUSTOMER phù hợp; với VNPay dùng sandbox.
3. Thực hiện: Đặt COD bằng địa chỉ lưu hợp lệ.
4. Ghi nhận UI, HTTP response, log và dữ liệu database liên quan.</t>
  </si>
  <si>
    <t>Tạo đơn PENDING, payment COD PENDING, chuyển chi tiết đơn.</t>
  </si>
  <si>
    <t>Ưu tiên: P1
Batch 2/3 - 15/10/2026 - Pass: state=PENDING|COD|PENDING</t>
  </si>
  <si>
    <t>CHK-05</t>
  </si>
  <si>
    <t>Đặt COD bằng địa chỉ nhập mới hợp lệ.</t>
  </si>
  <si>
    <t>1. Mở TechStore trên môi trường test.
2. Đăng nhập bằng tài khoản CUSTOMER phù hợp; với VNPay dùng sandbox.
3. Thực hiện: Đặt COD bằng địa chỉ nhập mới hợp lệ.
4. Ghi nhận UI, HTTP response, log và dữ liệu database liên quan.</t>
  </si>
  <si>
    <t>Snapshot người nhận/địa chỉ đúng; không bắt buộc lưu vào sổ địa chỉ.</t>
  </si>
  <si>
    <t>Ưu tiên: P1
Checkout COD bằng địa chỉ nhập mới tạo đơn thành công; order detail hiển thị mã đơn và dữ liệu nhận hàng.</t>
  </si>
  <si>
    <t>CHK-06</t>
  </si>
  <si>
    <t>Sai từng trường địa chỉ và ghi chú trên 500 ký tự.</t>
  </si>
  <si>
    <t>1. Mở TechStore trên môi trường test.
2. Đăng nhập bằng tài khoản CUSTOMER phù hợp; với VNPay dùng sandbox.
3. Thực hiện: Sai từng trường địa chỉ và ghi chú trên 500 ký tự.
4. Ghi nhận UI, HTTP response, log và dữ liệu database liên quan.</t>
  </si>
  <si>
    <t>Báo lỗi tại trường, không tạo đơn.</t>
  </si>
  <si>
    <t>Ưu tiên: P1
Batch 2/3 - 15/10/2026 - Pass: 7 invalid field/note variants rejected=True</t>
  </si>
  <si>
    <t>CHK-07</t>
  </si>
  <si>
    <t>Gửi payment method ngoài COD/VNPAY.</t>
  </si>
  <si>
    <t>1. Mở TechStore trên môi trường test.
2. Đăng nhập bằng tài khoản CUSTOMER phù hợp; với VNPay dùng sandbox.
3. Thực hiện: Gửi payment method ngoài COD/VNPAY.
4. Ghi nhận UI, HTTP response, log và dữ liệu database liên quan.</t>
  </si>
  <si>
    <t>Ưu tiên: P0
Batch 2/3 - 15/10/2026 - Pass: orders=1-&gt;1</t>
  </si>
  <si>
    <t>CHK-08</t>
  </si>
  <si>
    <t>Sửa HTML gửi giá, subtotal, discount hoặc shipping fee giả.</t>
  </si>
  <si>
    <t>1. Mở TechStore trên môi trường test.
2. Đăng nhập bằng tài khoản CUSTOMER phù hợp; với VNPay dùng sandbox.
3. Thực hiện: Sửa HTML gửi giá, subtotal, discount hoặc shipping fee giả.
4. Ghi nhận UI, HTTP response, log và dữ liệu database liên quan.</t>
  </si>
  <si>
    <t>Tổng đơn vẫn do server tính; client không điều khiển được giá.</t>
  </si>
  <si>
    <t>Ưu tiên: P0
Batch 2/3 - 15/10/2026 - Pass: server totals=200000|0|0|200000</t>
  </si>
  <si>
    <t>CHK-09</t>
  </si>
  <si>
    <t>Nhấn submit hai lần/gửi lại cùng checkoutToken.</t>
  </si>
  <si>
    <t>1. Mở TechStore trên môi trường test.
2. Đăng nhập bằng tài khoản CUSTOMER phù hợp; với VNPay dùng sandbox.
3. Thực hiện: Nhấn submit hai lần/gửi lại cùng checkoutToken.
4. Ghi nhận UI, HTTP response, log và dữ liệu database liên quan.</t>
  </si>
  <si>
    <t>Chỉ tạo một đơn; lần sau báo yêu cầu hết hiệu lực.</t>
  </si>
  <si>
    <t>Ưu tiên: P0
Batch 2/3 - 15/10/2026 - Pass: orders=2-&gt;3</t>
  </si>
  <si>
    <t>CHK-10</t>
  </si>
  <si>
    <t>Đặt hàng khi một SKU vừa hết kho.</t>
  </si>
  <si>
    <t>1. Mở TechStore trên môi trường test.
2. Đăng nhập bằng tài khoản CUSTOMER phù hợp; với VNPay dùng sandbox.
3. Thực hiện: Đặt hàng khi một SKU vừa hết kho.
4. Ghi nhận UI, HTTP response, log và dữ liệu database liên quan.</t>
  </si>
  <si>
    <t>Toàn transaction rollback: không đơn rác, không payment/history rác, kho không âm.</t>
  </si>
  <si>
    <t>Ưu tiên: P0
Batch 2/3 - 15/10/2026 - Pass: orders=3-&gt;3; stock=10|1</t>
  </si>
  <si>
    <t>CHK-11</t>
  </si>
  <si>
    <t>Đặt đơn nhiều SKU hợp lệ.</t>
  </si>
  <si>
    <t>1. Mở TechStore trên môi trường test.
2. Đăng nhập bằng tài khoản CUSTOMER phù hợp; với VNPay dùng sandbox.
3. Thực hiện: Đặt đơn nhiều SKU hợp lệ.
4. Ghi nhận UI, HTTP response, log và dữ liệu database liên quan.</t>
  </si>
  <si>
    <t>Từng line total, subtotal, total và số lượng kho đều chính xác.</t>
  </si>
  <si>
    <t>Ưu tiên: P0
Batch 2/3 - 15/10/2026 - Pass: lines|sum|subtotal|stocks=2|950000|950000|18|17</t>
  </si>
  <si>
    <t>CHK-12</t>
  </si>
  <si>
    <t>Đối chiếu sau đặt đơn.</t>
  </si>
  <si>
    <t>1. Mở TechStore trên môi trường test.
2. Đăng nhập bằng tài khoản CUSTOMER phù hợp; với VNPay dùng sandbox.
3. Thực hiện: Đối chiếu sau đặt đơn.
4. Ghi nhận UI, HTTP response, log và dữ liệu database liên quan.</t>
  </si>
  <si>
    <t>Có Order, OrderItems snapshot, Payment, history PENDING; cart thành ORDERED.</t>
  </si>
  <si>
    <t>Ưu tiên: P0
SQL đối chiếu Order, OrderItems, Payment, tổng tiền và tồn kho sau đặt hàng; hủy test hoàn kho đúng.</t>
  </si>
  <si>
    <t>5.9. Lịch sử, chi tiết và hủy đơn</t>
  </si>
  <si>
    <t>ORD-01</t>
  </si>
  <si>
    <t>Mở lịch sử có trên 20 đơn và đổi trang.</t>
  </si>
  <si>
    <t>1. Mở TechStore trên môi trường test.
2. Đăng nhập bằng tài khoản CUSTOMER phù hợp; với VNPay dùng sandbox.
3. Thực hiện: Mở lịch sử có trên 20 đơn và đổi trang.
4. Ghi nhận UI, HTTP response, log và dữ liệu database liên quan.</t>
  </si>
  <si>
    <t>Đúng user, mới trước, phân trang không trùng/mất đơn.</t>
  </si>
  <si>
    <t>Ưu tiên: P1
Batch 2/3 - 15/10/2026 - Pass: testOrders page1=16;page2=5;total=21;overlap=0</t>
  </si>
  <si>
    <t>ORD-02</t>
  </si>
  <si>
    <t>Mở chi tiết mã đơn hợp lệ/sai.</t>
  </si>
  <si>
    <t>1. Mở TechStore trên môi trường test.
2. Đăng nhập bằng tài khoản CUSTOMER phù hợp; với VNPay dùng sandbox.
3. Thực hiện: Mở chi tiết mã đơn hợp lệ/sai.
4. Ghi nhận UI, HTTP response, log và dữ liệu database liên quan.</t>
  </si>
  <si>
    <t>Hợp lệ hiển thị đầy đủ; sai trả 404.</t>
  </si>
  <si>
    <t>Ưu tiên: P1
Batch 2/3 - 15/10/2026 - Pass: valid=200;invalid=404</t>
  </si>
  <si>
    <t>ORD-03</t>
  </si>
  <si>
    <t>Khách B mở mã đơn của Khách A.</t>
  </si>
  <si>
    <t>1. Mở TechStore trên môi trường test.
2. Đăng nhập bằng tài khoản CUSTOMER phù hợp; với VNPay dùng sandbox.
3. Thực hiện: Khách B mở mã đơn của Khách A.
4. Ghi nhận UI, HTTP response, log và dữ liệu database liên quan.</t>
  </si>
  <si>
    <t>HTTP 403, không lộ dữ liệu đơn.</t>
  </si>
  <si>
    <t>Ưu tiên: P0
Tài khoản thứ hai mở chi tiết đơn của tài khoản test nhận HTTP 403.</t>
  </si>
  <si>
    <t>ORD-04</t>
  </si>
  <si>
    <t>Đối chiếu sản phẩm, snapshot SKU/giá/ảnh, tổng, địa chỉ, timeline.</t>
  </si>
  <si>
    <t>1. Mở TechStore trên môi trường test.
2. Đăng nhập bằng tài khoản CUSTOMER phù hợp; với VNPay dùng sandbox.
3. Thực hiện: Đối chiếu sản phẩm, snapshot SKU/giá/ảnh, tổng, địa chỉ, timeline.
4. Ghi nhận UI, HTTP response, log và dữ liệu database liên quan.</t>
  </si>
  <si>
    <t>Khớp dữ liệu tại lúc đặt hàng.</t>
  </si>
  <si>
    <t>Ưu tiên: P1
Batch 2/3 - 15/10/2026 - Pass: SQL=2|950000|950000|1; status=200;skuA=True;skuB=True;total=True</t>
  </si>
  <si>
    <t>ORD-05</t>
  </si>
  <si>
    <t>Khách hủy đơn PENDING/CONFIRMED/PROCESSING chưa thanh toán, có lý do.</t>
  </si>
  <si>
    <t>1. Mở TechStore trên môi trường test.
2. Đăng nhập bằng tài khoản CUSTOMER phù hợp; với VNPay dùng sandbox.
3. Thực hiện: Khách hủy đơn PENDING/CONFIRMED/PROCESSING chưa thanh toán, có lý do.
4. Ghi nhận UI, HTTP response, log và dữ liệu database liên quan.</t>
  </si>
  <si>
    <t>Đơn CANCELLED, payment thất bại, lịch sử có lý do, kho hoàn đúng một lần.</t>
  </si>
  <si>
    <t>Ưu tiên: P0
Batch 2/3 - 15/10/2026 - Pass: CANCELLED|FAILED|FAILED|10|1;CANCELLED|FAILED|FAILED|10|1;CANCELLED|FAILED|FAILED|10|1</t>
  </si>
  <si>
    <t>ORD-06</t>
  </si>
  <si>
    <t>Hủy không có lý do hoặc quá 500 ký tự.</t>
  </si>
  <si>
    <t>1. Mở TechStore trên môi trường test.
2. Đăng nhập bằng tài khoản CUSTOMER phù hợp; với VNPay dùng sandbox.
3. Thực hiện: Hủy không có lý do hoặc quá 500 ký tự.
4. Ghi nhận UI, HTTP response, log và dữ liệu database liên quan.</t>
  </si>
  <si>
    <t>Ưu tiên: P0
Batch 2/3 - 15/10/2026 - Pass: blank and 501-char reasons rejected=True</t>
  </si>
  <si>
    <t>ORD-07</t>
  </si>
  <si>
    <t>Hủy lại đơn đã hủy; hủy SHIPPING/COMPLETED.</t>
  </si>
  <si>
    <t>1. Mở TechStore trên môi trường test.
2. Đăng nhập bằng tài khoản CUSTOMER phù hợp; với VNPay dùng sandbox.
3. Thực hiện: Hủy lại đơn đã hủy; hủy SHIPPING/COMPLETED.
4. Ghi nhận UI, HTTP response, log và dữ liệu database liên quan.</t>
  </si>
  <si>
    <t>Bị từ chối, kho không hoàn thêm.</t>
  </si>
  <si>
    <t>Ưu tiên: P0
Batch 2/3 - 15/10/2026 - Pass: shipping/completed blocked=True; repeated stock=10</t>
  </si>
  <si>
    <t>ORD-08</t>
  </si>
  <si>
    <t>Hủy đơn PAID.</t>
  </si>
  <si>
    <t>1. Mở TechStore trên môi trường test.
2. Đăng nhập bằng tài khoản CUSTOMER phù hợp; với VNPay dùng sandbox.
3. Thực hiện: Hủy đơn PAID.
4. Ghi nhận UI, HTTP response, log và dữ liệu database liên quan.</t>
  </si>
  <si>
    <t>Bị từ chối và hướng dẫn xử lý hoàn tiền.</t>
  </si>
  <si>
    <t>Ưu tiên: P0
Batch 2/3 - 15/10/2026 - Pass: state=PENDING|PAID|9</t>
  </si>
  <si>
    <t>ORD-09</t>
  </si>
  <si>
    <t>Hủy đơn có VNPay pending mới dưới 20 phút và sau khi quá hạn.</t>
  </si>
  <si>
    <t>1. Mở TechStore trên môi trường test.
2. Đăng nhập bằng tài khoản CUSTOMER phù hợp; với VNPay dùng sandbox.
3. Thực hiện: Hủy đơn có VNPay pending mới dưới 20 phút và sau khi quá hạn.
4. Ghi nhận UI, HTTP response, log và dữ liệu database liên quan.</t>
  </si>
  <si>
    <t>Trước hạn bị chặn; sau hạn có thể hủy nếu trạng thái đơn cho phép.</t>
  </si>
  <si>
    <t>Ưu tiên: P0
Batch 2/3 - 15/10/2026 - Pass: recent|stock|old|stock=PENDING|9|CANCELLED|10</t>
  </si>
  <si>
    <t>ORD-10</t>
  </si>
  <si>
    <t>Khách A gửi POST hủy orderId của B.</t>
  </si>
  <si>
    <t>1. Mở TechStore trên môi trường test.
2. Đăng nhập bằng tài khoản CUSTOMER phù hợp; với VNPay dùng sandbox.
3. Thực hiện: Khách A gửi POST hủy orderId của B.
4. Ghi nhận UI, HTTP response, log và dữ liệu database liên quan.</t>
  </si>
  <si>
    <t>HTTP 403, đơn B không đổi.</t>
  </si>
  <si>
    <t>Ưu tiên: P0
Batch 2/3 - 15/10/2026 - Pass: HTTP=403;state=PENDING|9</t>
  </si>
  <si>
    <t>5.10. VNPay sandbox</t>
  </si>
  <si>
    <t>PAY-01</t>
  </si>
  <si>
    <t>Gỡ TMN_CODE/HASH_SECRET, chọn VNPay.</t>
  </si>
  <si>
    <t>1. Mở TechStore trên môi trường test.
2. Đăng nhập bằng tài khoản CUSTOMER phù hợp; với VNPay dùng sandbox.
3. Thực hiện: Gỡ TMN_CODE/HASH_SECRET, chọn VNPay.
4. Ghi nhận UI, HTTP response, log và dữ liệu database liên quan.</t>
  </si>
  <si>
    <t>Không tạo đơn và không tạo payment pending; báo thiếu cấu hình.</t>
  </si>
  <si>
    <t>Ưu tiên: P0
Pass: chạy Tomcat cô lập không có TMN_CODE/HASH_SECRET. Checkout khóa lựa chọn VNPay; request POST bị ép chọn VNPay vẫn bị từ chối trước khi consume token. SQL xác nhận 0 Order và 0 Payment được tạo.</t>
  </si>
  <si>
    <t>PAY-02</t>
  </si>
  <si>
    <t>Cấu hình đúng và checkout VNPay.</t>
  </si>
  <si>
    <t>1. Mở TechStore trên môi trường test.
2. Đăng nhập bằng tài khoản CUSTOMER phù hợp; với VNPay dùng sandbox.
3. Thực hiện: Cấu hình đúng và checkout VNPay.
4. Ghi nhận UI, HTTP response, log và dữ liệu database liên quan.</t>
  </si>
  <si>
    <t>Tạo đơn, redirect đúng sandbox, amount/order reference đúng.</t>
  </si>
  <si>
    <t>Ưu tiên: P0
Pass: cấu hình Sandbox hợp lệ tạo Order và Payment PENDING, redirect đến sandbox.vnpayment.vn. vnp_Amount và vnp_TxnRef khớp Payment/Order trong SQL.</t>
  </si>
  <si>
    <t>PAY-03</t>
  </si>
  <si>
    <t>Thanh toán sandbox thành công.</t>
  </si>
  <si>
    <t>1. Mở TechStore trên môi trường test.
2. Đăng nhập bằng tài khoản CUSTOMER phù hợp; với VNPay dùng sandbox.
3. Thực hiện: Thanh toán sandbox thành công.
4. Ghi nhận UI, HTTP response, log và dữ liệu database liên quan.</t>
  </si>
  <si>
    <t>Chữ ký hợp lệ; payment SUCCESS, order payment PAID, có mã giao dịch.</t>
  </si>
  <si>
    <t>Ưu tiên: P0
Pass: thanh toán thật trên VNPay Sandbox bằng thẻ test NCB và OTP thành công, vnp_ResponseCode=00. SQL: Order.PaymentStatus=PAID, PaymentStatus=SUCCESS, BankCode=NCB, có ProviderTransactionId và số tiền khớp Order.</t>
  </si>
  <si>
    <t>PAY-04</t>
  </si>
  <si>
    <t>Hủy/thất bại/hết hạn tại VNPay.</t>
  </si>
  <si>
    <t>1. Mở TechStore trên môi trường test.
2. Đăng nhập bằng tài khoản CUSTOMER phù hợp; với VNPay dùng sandbox.
3. Thực hiện: Hủy/thất bại/hết hạn tại VNPay.
4. Ghi nhận UI, HTTP response, log và dữ liệu database liên quan.</t>
  </si>
  <si>
    <t>Payment FAILED, order payment phản ánh thất bại, trang kết quả rõ ràng.</t>
  </si>
  <si>
    <t>Ưu tiên: P0
Pass: hủy giao dịch trực tiếp tại VNPay Sandbox trả vnp_ResponseCode=24. SQL: Order.PaymentStatus=FAILED, PaymentStatus=FAILED, ProviderResponseCode=24 và không có ProviderTransactionId.</t>
  </si>
  <si>
    <t>PAY-05</t>
  </si>
  <si>
    <t>Sửa một tham số Return/IPN sau khi ký.</t>
  </si>
  <si>
    <t>1. Mở TechStore trên môi trường test.
2. Đăng nhập bằng tài khoản CUSTOMER phù hợp; với VNPay dùng sandbox.
3. Thực hiện: Sửa một tham số Return/IPN sau khi ký.
4. Ghi nhận UI, HTTP response, log và dữ liệu database liên quan.</t>
  </si>
  <si>
    <t>Mã 97/Invalid Checksum; không cập nhật dữ liệu.</t>
  </si>
  <si>
    <t>Ưu tiên: P0
Pass: callback bị sửa/chữ ký không hợp lệ trả mã 97 Invalid Checksum, HTTP 200 an toàn và trạng thái SQL trước/sau không đổi.</t>
  </si>
  <si>
    <t>PAY-06</t>
  </si>
  <si>
    <t>Callback đúng chữ ký nhưng sai terminal hoặc sai số tiền.</t>
  </si>
  <si>
    <t>1. Mở TechStore trên môi trường test.
2. Đăng nhập bằng tài khoản CUSTOMER phù hợp; với VNPay dùng sandbox.
3. Thực hiện: Callback đúng chữ ký nhưng sai terminal hoặc sai số tiền.
4. Ghi nhận UI, HTTP response, log và dữ liệu database liên quan.</t>
  </si>
  <si>
    <t>Bị từ chối; payment/order không thành công.</t>
  </si>
  <si>
    <t>Ưu tiên: P0
Pass: callback có chữ ký đúng nhưng sai amount trả 04; sai terminal trả 97. Order vẫn UNPAID và Payment vẫn PENDING.</t>
  </si>
  <si>
    <t>PAY-07</t>
  </si>
  <si>
    <t>Gửi lại callback thành công y hệt nhiều lần.</t>
  </si>
  <si>
    <t>1. Mở TechStore trên môi trường test.
2. Đăng nhập bằng tài khoản CUSTOMER phù hợp; với VNPay dùng sandbox.
3. Thực hiện: Gửi lại callback thành công y hệt nhiều lần.
4. Ghi nhận UI, HTTP response, log và dữ liệu database liên quan.</t>
  </si>
  <si>
    <t>Chỉ ghi nhận một lần; trả trạng thái đã xử lý, không nhân đôi giao dịch.</t>
  </si>
  <si>
    <t>Ưu tiên: P0
Pass: gửi lại callback thành công hợp lệ 3 lần đều trả trạng thái đã xác nhận (02); SQL vẫn chỉ có 1 Payment SUCCESS và không nhân đôi giao dịch.</t>
  </si>
  <si>
    <t>PAY-08</t>
  </si>
  <si>
    <t>Dùng cùng provider transaction ID cho payment khác.</t>
  </si>
  <si>
    <t>1. Mở TechStore trên môi trường test.
2. Đăng nhập bằng tài khoản CUSTOMER phù hợp; với VNPay dùng sandbox.
3. Thực hiện: Dùng cùng provider transaction ID cho payment khác.
4. Ghi nhận UI, HTTP response, log và dữ liệu database liên quan.</t>
  </si>
  <si>
    <t>Bị từ chối do mã giao dịch đã dùng.</t>
  </si>
  <si>
    <t>Ưu tiên: P0
Pass: dùng lại ProviderTransactionId thành công cho Payment khác bị từ chối mã 02; Payment thứ hai giữ PENDING và không lưu mã giao dịch trùng.</t>
  </si>
  <si>
    <t>PAY-09</t>
  </si>
  <si>
    <t>Callback đến sau khi đơn đã hủy.</t>
  </si>
  <si>
    <t>1. Mở TechStore trên môi trường test.
2. Đăng nhập bằng tài khoản CUSTOMER phù hợp; với VNPay dùng sandbox.
3. Thực hiện: Callback đến sau khi đơn đã hủy.
4. Ghi nhận UI, HTTP response, log và dữ liệu database liên quan.</t>
  </si>
  <si>
    <t>Không chuyển đơn/payment sang thành công.</t>
  </si>
  <si>
    <t>Ưu tiên: P0
Pass: sau khi aging attempt và hủy Order qua giao diện, callback thành công đến muộn trả 02; Order vẫn CANCELLED và Payment/Order payment vẫn FAILED.</t>
  </si>
  <si>
    <t>PAY-10</t>
  </si>
  <si>
    <t>Thanh toán lại đơn chưa trả sau payment fail/hết 20 phút.</t>
  </si>
  <si>
    <t>1. Mở TechStore trên môi trường test.
2. Đăng nhập bằng tài khoản CUSTOMER phù hợp; với VNPay dùng sandbox.
3. Thực hiện: Thanh toán lại đơn chưa trả sau payment fail/hết 20 phút.
4. Ghi nhận UI, HTTP response, log và dữ liệu database liên quan.</t>
  </si>
  <si>
    <t>Tạo hoặc dùng attempt hợp lệ mới, reference duy nhất.</t>
  </si>
  <si>
    <t>Ưu tiên: P1
Pass: Payment PENDING quá 20 phút được chuyển FAILED khi thanh toán lại; hệ thống tạo đúng 1 attempt PENDING mới với MerchantTransactionRef duy nhất.</t>
  </si>
  <si>
    <t>PAY-11</t>
  </si>
  <si>
    <t>Khách B yêu cầu thanh toán lại đơn A; thử đơn paid/cancelled/completed.</t>
  </si>
  <si>
    <t>1. Mở TechStore trên môi trường test.
2. Đăng nhập bằng tài khoản CUSTOMER phù hợp; với VNPay dùng sandbox.
3. Thực hiện: Khách B yêu cầu thanh toán lại đơn A; thử đơn paid/cancelled/completed.
4. Ghi nhận UI, HTTP response, log và dữ liệu database liên quan.</t>
  </si>
  <si>
    <t>Tất cả bị từ chối.</t>
  </si>
  <si>
    <t>Ưu tiên: P0
Pass: từ chối thanh toán lại đơn của user khác và các đơn PAID, CANCELLED, COMPLETED; SQL xác nhận không phát sinh thêm Payment.</t>
  </si>
  <si>
    <t>PAY-12</t>
  </si>
  <si>
    <t>Gọi POST vào Return/IPN hoặc GET /start.</t>
  </si>
  <si>
    <t>1. Mở TechStore trên môi trường test.
2. Đăng nhập bằng tài khoản CUSTOMER phù hợp; với VNPay dùng sandbox.
3. Thực hiện: Gọi POST vào Return/IPN hoặc GET /start.
4. Ghi nhận UI, HTTP response, log và dữ liệu database liên quan.</t>
  </si>
  <si>
    <t>Trả method/status phù hợp; /start chỉ chấp nhận POST đã login.</t>
  </si>
  <si>
    <t>Ưu tiên: P1
Fail: servlet vẫn có doGet cho /payment/vnpay/start; sau khi đăng nhập, GET /start có thể đi vào xử lý callback thay vì trả 405. POST Return không CSRF hiện trả 403 trước khi tới kiểm tra method.</t>
  </si>
  <si>
    <t>PAY-13</t>
  </si>
  <si>
    <t>Gửi tham số callback lặp key, key &gt;100 hoặc value &gt;1000.</t>
  </si>
  <si>
    <t>1. Mở TechStore trên môi trường test.
2. Đăng nhập bằng tài khoản CUSTOMER phù hợp; với VNPay dùng sandbox.
3. Thực hiện: Gửi tham số callback lặp key, key &gt;100 hoặc value &gt;1000.
4. Ghi nhận UI, HTTP response, log và dữ liệu database liên quan.</t>
  </si>
  <si>
    <t>Báo dữ liệu không hợp lệ, không lỗi 500.</t>
  </si>
  <si>
    <t>Ưu tiên: P1
Pass: callback lặp key, key dài hơn 100 và value dài hơn 1.000 ký tự đều bị từ chối bằng JSON RspCode=99, HTTP 200, không lỗi 500.</t>
  </si>
  <si>
    <t>PAY-14</t>
  </si>
  <si>
    <t>Kiểm tra response IPN.</t>
  </si>
  <si>
    <t>1. Mở TechStore trên môi trường test.
2. Đăng nhập bằng tài khoản CUSTOMER phù hợp; với VNPay dùng sandbox.
3. Thực hiện: Kiểm tra response IPN.
4. Ghi nhận UI, HTTP response, log và dữ liệu database liên quan.</t>
  </si>
  <si>
    <t>JSON hợp lệ, UTF-8, Cache-Control: no-store.</t>
  </si>
  <si>
    <t>Ưu tiên: P1
IPN lỗi vẫn trả JSON UTF-8 hợp lệ, có RspCode và Cache-Control: no-store.</t>
  </si>
  <si>
    <t>5.11. Admin dashboard và báo cáo</t>
  </si>
  <si>
    <t>RPT-01</t>
  </si>
  <si>
    <t>Mở dashboard mặc định.</t>
  </si>
  <si>
    <t>1. Mở TechStore trên môi trường test.
2. Đăng nhập bằng tài khoản ADMIN, chuẩn bị dữ liệu quản trị phù hợp.
3. Thực hiện: Mở dashboard mặc định.
4. Ghi nhận UI, HTTP response, log và dữ liệu database liên quan.</t>
  </si>
  <si>
    <t>Khoảng 30 ngày, KPI/biểu đồ/danh sách tải đúng.</t>
  </si>
  <si>
    <t>Ưu tiên: P1
Batch 2/3 - 15/10/2026 - Pass: HTTP=200;range=2026-09-16..2026-10-15;cards=5</t>
  </si>
  <si>
    <t>RPT-02</t>
  </si>
  <si>
    <t>Chọn khoảng ngày hợp lệ, cùng ngày, qua tháng/năm.</t>
  </si>
  <si>
    <t>1. Mở TechStore trên môi trường test.
2. Đăng nhập bằng tài khoản ADMIN, chuẩn bị dữ liệu quản trị phù hợp.
3. Thực hiện: Chọn khoảng ngày hợp lệ, cùng ngày, qua tháng/năm.
4. Ghi nhận UI, HTTP response, log và dữ liệu database liên quan.</t>
  </si>
  <si>
    <t>Dữ liệu đúng và đủ cả hai đầu ngày.</t>
  </si>
  <si>
    <t>Ưu tiên: P1
Batch 2/3 - 15/10/2026 - Pass: sameDay=200;cross=200;crossData=True</t>
  </si>
  <si>
    <t>RPT-03</t>
  </si>
  <si>
    <t>Ngày sai hoặc from sau to.</t>
  </si>
  <si>
    <t>1. Mở TechStore trên môi trường test.
2. Đăng nhập bằng tài khoản ADMIN, chuẩn bị dữ liệu quản trị phù hợp.
3. Thực hiện: Ngày sai hoặc from sau to.
4. Ghi nhận UI, HTTP response, log và dữ liệu database liên quan.</t>
  </si>
  <si>
    <t>Báo lỗi và dùng khoảng dự phòng, không lỗi 500.</t>
  </si>
  <si>
    <t>Ưu tiên: P1
Batch 2/3 - 15/10/2026 - Pass: bad=200;reverse=200</t>
  </si>
  <si>
    <t>RPT-04</t>
  </si>
  <si>
    <t>Đối chiếu doanh thu với SQL.</t>
  </si>
  <si>
    <t>1. Mở TechStore trên môi trường test.
2. Đăng nhập bằng tài khoản ADMIN, chuẩn bị dữ liệu quản trị phù hợp.
3. Thực hiện: Đối chiếu doanh thu với SQL.
4. Ghi nhận UI, HTTP response, log và dữ liệu database liên quan.</t>
  </si>
  <si>
    <t>Chỉ đơn COMPLETED được tính doanh thu.</t>
  </si>
  <si>
    <t>Ưu tiên: P0
Batch 2/3 - 15/10/2026 - Pass: revenueSQL=10615000;shown=True</t>
  </si>
  <si>
    <t>RPT-05</t>
  </si>
  <si>
    <t>Đối chiếu số đơn/trạng thái, top sản phẩm, cảnh báo kho, top khách.</t>
  </si>
  <si>
    <t>1. Mở TechStore trên môi trường test.
2. Đăng nhập bằng tài khoản ADMIN, chuẩn bị dữ liệu quản trị phù hợp.
3. Thực hiện: Đối chiếu số đơn/trạng thái, top sản phẩm, cảnh báo kho, top khách.
4. Ghi nhận UI, HTTP response, log và dữ liệu database liên quan.</t>
  </si>
  <si>
    <t>Khớp dữ liệu database và khoảng ngày.</t>
  </si>
  <si>
    <t>Ưu tiên: P1
Batch 2/3 - 15/10/2026 - Pass: names/sku present=True;pending=32;countShown=True</t>
  </si>
  <si>
    <t>RPT-06</t>
  </si>
  <si>
    <t>Xuất CSV.</t>
  </si>
  <si>
    <t>1. Mở TechStore trên môi trường test.
2. Đăng nhập bằng tài khoản ADMIN, chuẩn bị dữ liệu quản trị phù hợp.
3. Thực hiện: Xuất CSV.
4. Ghi nhận UI, HTTP response, log và dữ liệu database liên quan.</t>
  </si>
  <si>
    <t>Tên file/ngày đúng, UTF-8 BOM, mở Excel không lỗi dấu.</t>
  </si>
  <si>
    <t>Ưu tiên: P1
Batch 2/3 - 15/10/2026 - Pass: HTTP=200;BOM=True;disposition=attachment; filename=techstore-report-2026-10-15-2026-10-15.csv</t>
  </si>
  <si>
    <t>RPT-07</t>
  </si>
  <si>
    <t>Dữ liệu bắt đầu bằng =, +, -, @ rồi xuất CSV.</t>
  </si>
  <si>
    <t>1. Mở TechStore trên môi trường test.
2. Đăng nhập bằng tài khoản ADMIN, chuẩn bị dữ liệu quản trị phù hợp.
3. Thực hiện: Dữ liệu bắt đầu bằng =, +, -, @ rồi xuất CSV.
4. Ghi nhận UI, HTTP response, log và dữ liệu database liên quan.</t>
  </si>
  <si>
    <t>Giá trị được thêm ', không chạy công thức khi mở Excel.</t>
  </si>
  <si>
    <t>Ưu tiên: P0
Batch 2/3 - 15/10/2026 - Pass: formula prefixes escaped=True/True</t>
  </si>
  <si>
    <t>RPT-08</t>
  </si>
  <si>
    <t>Xuất CSV với ngày rỗng/sai.</t>
  </si>
  <si>
    <t>1. Mở TechStore trên môi trường test.
2. Đăng nhập bằng tài khoản ADMIN, chuẩn bị dữ liệu quản trị phù hợp.
3. Thực hiện: Xuất CSV với ngày rỗng/sai.
4. Ghi nhận UI, HTTP response, log và dữ liệu database liên quan.</t>
  </si>
  <si>
    <t>HTTP 400, không tải file lỗi.</t>
  </si>
  <si>
    <t>Ưu tiên: P1
Batch 2/3 - 15/10/2026 - Pass: missing=400;bad=400</t>
  </si>
  <si>
    <t>5.12. Admin catalog, sản phẩm và tài sản</t>
  </si>
  <si>
    <t>ACAT-01</t>
  </si>
  <si>
    <t>Thêm/sửa danh mục gốc và con hợp lệ.</t>
  </si>
  <si>
    <t>1. Mở TechStore trên môi trường test.
2. Đăng nhập bằng tài khoản ADMIN, chuẩn bị dữ liệu quản trị phù hợp.
3. Thực hiện: Thêm/sửa danh mục gốc và con hợp lệ.
4. Ghi nhận UI, HTTP response, log và dữ liệu database liên quan.</t>
  </si>
  <si>
    <t>Lưu đúng quan hệ cha con và trạng thái.</t>
  </si>
  <si>
    <t>Ưu tiên: P1
Batch 2/3 - 15/10/2026 - Pass: state=21|ACAT Child Updated|1</t>
  </si>
  <si>
    <t>ACAT-02</t>
  </si>
  <si>
    <t>Slug trùng, sai format, tên/slug rỗng hoặc quá dài.</t>
  </si>
  <si>
    <t>1. Mở TechStore trên môi trường test.
2. Đăng nhập bằng tài khoản ADMIN, chuẩn bị dữ liệu quản trị phù hợp.
3. Thực hiện: Slug trùng, sai format, tên/slug rỗng hoặc quá dài.
4. Ghi nhận UI, HTTP response, log và dữ liệu database liên quan.</t>
  </si>
  <si>
    <t>Bị từ chối, không có bản ghi trùng.</t>
  </si>
  <si>
    <t>Ưu tiên: P1
Batch 2/3 - 15/10/2026 - Pass: rows=2-&gt;2</t>
  </si>
  <si>
    <t>ACAT-03</t>
  </si>
  <si>
    <t>Chọn chính danh mục làm cha.</t>
  </si>
  <si>
    <t>1. Mở TechStore trên môi trường test.
2. Đăng nhập bằng tài khoản ADMIN, chuẩn bị dữ liệu quản trị phù hợp.
3. Thực hiện: Chọn chính danh mục làm cha.
4. Ghi nhận UI, HTTP response, log và dữ liệu database liên quan.</t>
  </si>
  <si>
    <t>Ưu tiên: P1
Batch 2/3 - 15/10/2026 - Pass: parent=NULL</t>
  </si>
  <si>
    <t>ACAT-04</t>
  </si>
  <si>
    <t>Ẩn/hiện danh mục.</t>
  </si>
  <si>
    <t>1. Mở TechStore trên môi trường test.
2. Đăng nhập bằng tài khoản ADMIN, chuẩn bị dữ liệu quản trị phù hợp.
3. Thực hiện: Ẩn/hiện danh mục.
4. Ghi nhận UI, HTTP response, log và dữ liệu database liên quan.</t>
  </si>
  <si>
    <t>Header/filter/form admin phản ánh đúng; sản phẩm không bị xóa.</t>
  </si>
  <si>
    <t>Ưu tiên: P1
Batch 2/3 - 15/10/2026 - Pass: hidden=0;shown=1;product=1</t>
  </si>
  <si>
    <t>ACAT-05</t>
  </si>
  <si>
    <t>Thêm/sửa/ẩn/hiện thương hiệu; thử slug trùng.</t>
  </si>
  <si>
    <t>1. Mở TechStore trên môi trường test.
2. Đăng nhập bằng tài khoản ADMIN, chuẩn bị dữ liệu quản trị phù hợp.
3. Thực hiện: Thêm/sửa/ẩn/hiện thương hiệu; thử slug trùng.
4. Ghi nhận UI, HTTP response, log và dữ liệu database liên quan.</t>
  </si>
  <si>
    <t>CRUD trạng thái đúng, slug duy nhất.</t>
  </si>
  <si>
    <t>Ưu tiên: P1
Integration test tạo, sửa, ẩn thương hiệu và từ chối slug trùng; dữ liệu SQL đúng sau từng bước.</t>
  </si>
  <si>
    <t>APROD-01</t>
  </si>
  <si>
    <t>Tìm tên/slug, lọc ACTIVE/DRAFT/INACTIVE, đổi trang.</t>
  </si>
  <si>
    <t>1. Mở TechStore trên môi trường test.
2. Đăng nhập bằng tài khoản ADMIN, chuẩn bị dữ liệu quản trị phù hợp.
3. Thực hiện: Tìm tên/slug, lọc ACTIVE/DRAFT/INACTIVE, đổi trang.
4. Ghi nhận UI, HTTP response, log và dữ liệu database liên quan.</t>
  </si>
  <si>
    <t>Kết quả/count/filter/pagination đúng và được giữ khi quay lại.</t>
  </si>
  <si>
    <t>Ưu tiên: P1
Batch 2/3 - 15/10/2026 - Pass: search/filter/page verified</t>
  </si>
  <si>
    <t>APROD-02</t>
  </si>
  <si>
    <t>Thêm/sửa sản phẩm hợp lệ.</t>
  </si>
  <si>
    <t>1. Mở TechStore trên môi trường test.
2. Đăng nhập bằng tài khoản ADMIN, chuẩn bị dữ liệu quản trị phù hợp.
3. Thực hiện: Thêm/sửa sản phẩm hợp lệ.
4. Ghi nhận UI, HTTP response, log và dữ liệu database liên quan.</t>
  </si>
  <si>
    <t>Lưu tên, slug, category, brand, mô tả, trạng thái đúng.</t>
  </si>
  <si>
    <t>Ưu tiên: P1
Batch 2/3 - 15/10/2026 - Pass: state=Admin Product Updated|ACTIVE|20|44|short updated|long updated</t>
  </si>
  <si>
    <t>APROD-03</t>
  </si>
  <si>
    <t>Slug sản phẩm trùng/sai; mô tả vượt 1.000/20.000 ký tự.</t>
  </si>
  <si>
    <t>1. Mở TechStore trên môi trường test.
2. Đăng nhập bằng tài khoản ADMIN, chuẩn bị dữ liệu quản trị phù hợp.
3. Thực hiện: Slug sản phẩm trùng/sai; mô tả vượt 1.000/20.000 ký tự.
4. Ghi nhận UI, HTTP response, log và dữ liệu database liên quan.</t>
  </si>
  <si>
    <t>Ưu tiên: P1
Batch 2/3 - 15/10/2026 - Pass: duplicate/format/1001/20001 rejected=True</t>
  </si>
  <si>
    <t>APROD-04</t>
  </si>
  <si>
    <t>Chuyển sản phẩm giữa DRAFT/ACTIVE/INACTIVE.</t>
  </si>
  <si>
    <t>1. Mở TechStore trên môi trường test.
2. Đăng nhập bằng tài khoản ADMIN, chuẩn bị dữ liệu quản trị phù hợp.
3. Thực hiện: Chuyển sản phẩm giữa DRAFT/ACTIVE/INACTIVE.
4. Ghi nhận UI, HTTP response, log và dữ liệu database liên quan.</t>
  </si>
  <si>
    <t>Chỉ ACTIVE xuất hiện và mở được ở storefront.</t>
  </si>
  <si>
    <t>Ưu tiên: P1
Batch 2/3 - 15/10/2026 - Pass: DRAFT/ACTIVE/INACTIVE storefront visibility=True</t>
  </si>
  <si>
    <t>AVAR-01</t>
  </si>
  <si>
    <t>Thêm/sửa phiên bản đủ trường.</t>
  </si>
  <si>
    <t>1. Mở TechStore trên môi trường test.
2. Đăng nhập bằng tài khoản ADMIN, chuẩn bị dữ liệu quản trị phù hợp.
3. Thực hiện: Thêm/sửa phiên bản đủ trường.
4. Ghi nhận UI, HTTP response, log và dữ liệu database liên quan.</t>
  </si>
  <si>
    <t>SKU, thuộc tính, giá, tồn, trạng thái lưu đúng.</t>
  </si>
  <si>
    <t>Ưu tiên: P1
Batch 2/3 - 15/10/2026 - Pass: state=256GB Blue|Blue|16GB|256GB|550000|650000|9|1</t>
  </si>
  <si>
    <t>AVAR-02</t>
  </si>
  <si>
    <t>SKU trùng; giá/tồn âm; giá gốc thấp hơn giá bán.</t>
  </si>
  <si>
    <t>1. Mở TechStore trên môi trường test.
2. Đăng nhập bằng tài khoản ADMIN, chuẩn bị dữ liệu quản trị phù hợp.
3. Thực hiện: SKU trùng; giá/tồn âm; giá gốc thấp hơn giá bán.
4. Ghi nhận UI, HTTP response, log và dữ liệu database liên quan.</t>
  </si>
  <si>
    <t>Bị từ chối, dữ liệu cũ nguyên vẹn.</t>
  </si>
  <si>
    <t>Ưu tiên: P0
Batch 2/3 - 15/10/2026 - Pass: duplicate/negative/original-price validations=True</t>
  </si>
  <si>
    <t>AVAR-03</t>
  </si>
  <si>
    <t>Sửa variantId thuộc sản phẩm khác.</t>
  </si>
  <si>
    <t>1. Mở TechStore trên môi trường test.
2. Đăng nhập bằng tài khoản ADMIN, chuẩn bị dữ liệu quản trị phù hợp.
3. Thực hiện: Sửa variantId thuộc sản phẩm khác.
4. Ghi nhận UI, HTTP response, log và dữ liệu database liên quan.</t>
  </si>
  <si>
    <t>Bị từ chối/404; không chuyển dữ liệu chéo.</t>
  </si>
  <si>
    <t>Ưu tiên: P0
Batch 2/3 - 15/10/2026 - Pass: before=134|B2-20261015101938-X;after=134|B2-20261015101938-X</t>
  </si>
  <si>
    <t>AVAR-04</t>
  </si>
  <si>
    <t>Ngừng bán phiên bản đã có trong đơn cũ.</t>
  </si>
  <si>
    <t>1. Mở TechStore trên môi trường test.
2. Đăng nhập bằng tài khoản ADMIN, chuẩn bị dữ liệu quản trị phù hợp.
3. Thực hiện: Ngừng bán phiên bản đã có trong đơn cũ.
4. Ghi nhận UI, HTTP response, log và dữ liệu database liên quan.</t>
  </si>
  <si>
    <t>Storefront không bán nữa; snapshot đơn cũ vẫn đọc được.</t>
  </si>
  <si>
    <t>Ưu tiên: P1
Batch 2/3 - 15/10/2026 - Pass: storeDisabled=True;orderSnapshot=True</t>
  </si>
  <si>
    <t>AIMG-01</t>
  </si>
  <si>
    <t>Thêm ảnh bằng URL HTTP/HTTPS và đường dẫn local hợp lệ.</t>
  </si>
  <si>
    <t>1. Mở TechStore trên môi trường test.
2. Đăng nhập bằng tài khoản ADMIN, chuẩn bị dữ liệu quản trị phù hợp.
3. Thực hiện: Thêm ảnh bằng URL HTTP/HTTPS và đường dẫn local hợp lệ.
4. Ghi nhận UI, HTTP response, log và dữ liệu database liên quan.</t>
  </si>
  <si>
    <t>Ảnh lưu/hiển thị đúng.</t>
  </si>
  <si>
    <t>Ưu tiên: P1
Batch 2/3 - 15/10/2026 - Pass: images=0-&gt;3</t>
  </si>
  <si>
    <t>AIMG-02</t>
  </si>
  <si>
    <t>URL javascript:, file:, chứa .., backslash hoặc host/schema sai.</t>
  </si>
  <si>
    <t>1. Mở TechStore trên môi trường test.
2. Đăng nhập bằng tài khoản ADMIN, chuẩn bị dữ liệu quản trị phù hợp.
3. Thực hiện: URL javascript:, file:, chứa .., backslash hoặc host/schema sai.
4. Ghi nhận UI, HTTP response, log và dữ liệu database liên quan.</t>
  </si>
  <si>
    <t>Ưu tiên: P0
Batch 2/3 - 15/10/2026 - Pass: invalid URL rows=3-&gt;3</t>
  </si>
  <si>
    <t>AIMG-03</t>
  </si>
  <si>
    <t>Upload JPEG/PNG thật dưới 5 MB.</t>
  </si>
  <si>
    <t>1. Mở TechStore trên môi trường test.
2. Đăng nhập bằng tài khoản ADMIN, chuẩn bị dữ liệu quản trị phù hợp.
3. Thực hiện: Upload JPEG/PNG thật dưới 5 MB.
4. Ghi nhận UI, HTTP response, log và dữ liệu database liên quan.</t>
  </si>
  <si>
    <t>Tên ngẫu nhiên 32 ký tự, file và bản ghi được tạo.</t>
  </si>
  <si>
    <t>Ưu tiên: P1
Batch 2/3 - 15/10/2026 - Pass: uploaded=assets/uploads/products/0ab37eddf20043e4a6bcb1ccaf29014d.png</t>
  </si>
  <si>
    <t>AIMG-04</t>
  </si>
  <si>
    <t>File giả đổi đuôi/MIME, GIF/PDF, &gt;5 MB, &gt;6000 px hoặc &gt;25M pixel.</t>
  </si>
  <si>
    <t>1. Mở TechStore trên môi trường test.
2. Đăng nhập bằng tài khoản ADMIN, chuẩn bị dữ liệu quản trị phù hợp.
3. Thực hiện: File giả đổi đuôi/MIME, GIF/PDF, &gt;5 MB, &gt;6000 px hoặc &gt;25M pixel.
4. Ghi nhận UI, HTTP response, log và dữ liệu database liên quan.</t>
  </si>
  <si>
    <t>Bị từ chối, không để lại file/bản ghi rác.</t>
  </si>
  <si>
    <t>Ưu tiên: P0
Batch 2/3 - 15/10/2026 - Pass: fake/GIF/&gt;5MB/&gt;6000px rows=4-&gt;4</t>
  </si>
  <si>
    <t>AIMG-05</t>
  </si>
  <si>
    <t>Vừa chọn URL vừa upload; không chọn gì.</t>
  </si>
  <si>
    <t>1. Mở TechStore trên môi trường test.
2. Đăng nhập bằng tài khoản ADMIN, chuẩn bị dữ liệu quản trị phù hợp.
3. Thực hiện: Vừa chọn URL vừa upload; không chọn gì.
4. Ghi nhận UI, HTTP response, log và dữ liệu database liên quan.</t>
  </si>
  <si>
    <t>Ưu tiên: P1
Batch 2/3 - 15/10/2026 - Pass: both/none rows=4-&gt;4</t>
  </si>
  <si>
    <t>AIMG-06</t>
  </si>
  <si>
    <t>Gán ảnh cho variant của sản phẩm khác.</t>
  </si>
  <si>
    <t>1. Mở TechStore trên môi trường test.
2. Đăng nhập bằng tài khoản ADMIN, chuẩn bị dữ liệu quản trị phù hợp.
3. Thực hiện: Gán ảnh cho variant của sản phẩm khác.
4. Ghi nhận UI, HTTP response, log và dữ liệu database liên quan.</t>
  </si>
  <si>
    <t>Ưu tiên: P1
Batch 2/3 - 15/10/2026 - Pass: cross-product image rows=4-&gt;4</t>
  </si>
  <si>
    <t>AIMG-07</t>
  </si>
  <si>
    <t>Đổi ảnh chính/thứ tự; thử thứ tự âm.</t>
  </si>
  <si>
    <t>1. Mở TechStore trên môi trường test.
2. Đăng nhập bằng tài khoản ADMIN, chuẩn bị dữ liệu quản trị phù hợp.
3. Thực hiện: Đổi ảnh chính/thứ tự; thử thứ tự âm.
4. Ghi nhận UI, HTTP response, log và dữ liệu database liên quan.</t>
  </si>
  <si>
    <t>Chỉ một ảnh chính đúng phạm vi; âm bị từ chối.</t>
  </si>
  <si>
    <t>Ưu tiên: P1
Batch 2/3 - 15/10/2026 - Pass: primary=1|59;negative unchanged=True</t>
  </si>
  <si>
    <t>AIMG-08</t>
  </si>
  <si>
    <t>Xóa ảnh upload local và ảnh URL.</t>
  </si>
  <si>
    <t>1. Mở TechStore trên môi trường test.
2. Đăng nhập bằng tài khoản ADMIN, chuẩn bị dữ liệu quản trị phù hợp.
3. Thực hiện: Xóa ảnh upload local và ảnh URL.
4. Ghi nhận UI, HTTP response, log và dữ liệu database liên quan.</t>
  </si>
  <si>
    <t>Xóa bản ghi; file local tương ứng bị xóa, URL ngoài không tác động file hệ thống.</t>
  </si>
  <si>
    <t>Ưu tiên: P1
Batch 2/3 - 15/10/2026 - Pass: localBefore=True;localAfter=False;rows=0</t>
  </si>
  <si>
    <t>ASPEC-01</t>
  </si>
  <si>
    <t>Thêm/sửa/xóa/sắp xếp thông số.</t>
  </si>
  <si>
    <t>1. Mở TechStore trên môi trường test.
2. Đăng nhập bằng tài khoản ADMIN, chuẩn bị dữ liệu quản trị phù hợp.
3. Thực hiện: Thêm/sửa/xóa/sắp xếp thông số.
4. Ghi nhận UI, HTTP response, log và dữ liệu database liên quan.</t>
  </si>
  <si>
    <t>Chi tiết sản phẩm hiển thị đúng thứ tự.</t>
  </si>
  <si>
    <t>ASPEC-02</t>
  </si>
  <si>
    <t>Trùng tên trong cùng sản phẩm, rỗng/quá dài, sort âm.</t>
  </si>
  <si>
    <t>1. Mở TechStore trên môi trường test.
2. Đăng nhập bằng tài khoản ADMIN, chuẩn bị dữ liệu quản trị phù hợp.
3. Thực hiện: Trùng tên trong cùng sản phẩm, rỗng/quá dài, sort âm.
4. Ghi nhận UI, HTTP response, log và dữ liệu database liên quan.</t>
  </si>
  <si>
    <t>ASPEC-03</t>
  </si>
  <si>
    <t>Sửa/xóa spec bằng ID thuộc sản phẩm khác.</t>
  </si>
  <si>
    <t>1. Mở TechStore trên môi trường test.
2. Đăng nhập bằng tài khoản ADMIN, chuẩn bị dữ liệu quản trị phù hợp.
3. Thực hiện: Sửa/xóa spec bằng ID thuộc sản phẩm khác.
4. Ghi nhận UI, HTTP response, log và dữ liệu database liên quan.</t>
  </si>
  <si>
    <t>Bị từ chối, dữ liệu không đổi.</t>
  </si>
  <si>
    <t>5.13. Admin đơn hàng và người dùng</t>
  </si>
  <si>
    <t>AORD-01</t>
  </si>
  <si>
    <t>Tìm theo mã, email, tên, điện thoại; lọc trạng thái/ngày.</t>
  </si>
  <si>
    <t>1. Mở TechStore trên môi trường test.
2. Đăng nhập bằng tài khoản ADMIN, chuẩn bị dữ liệu quản trị phù hợp.
3. Thực hiện: Tìm theo mã, email, tên, điện thoại; lọc trạng thái/ngày.
4. Ghi nhận UI, HTTP response, log và dữ liệu database liên quan.</t>
  </si>
  <si>
    <t>Kết quả và tổng số đúng.</t>
  </si>
  <si>
    <t>AORD-02</t>
  </si>
  <si>
    <t>From sau to, ngày/status sai, keyword &gt;150.</t>
  </si>
  <si>
    <t>1. Mở TechStore trên môi trường test.
2. Đăng nhập bằng tài khoản ADMIN, chuẩn bị dữ liệu quản trị phù hợp.
3. Thực hiện: From sau to, ngày/status sai, keyword &gt;150.
4. Ghi nhận UI, HTTP response, log và dữ liệu database liên quan.</t>
  </si>
  <si>
    <t>Báo lỗi có kiểm soát, không lỗi 500.</t>
  </si>
  <si>
    <t>AORD-03</t>
  </si>
  <si>
    <t>Đổi trang, mở chi tiết rồi quay lại.</t>
  </si>
  <si>
    <t>1. Mở TechStore trên môi trường test.
2. Đăng nhập bằng tài khoản ADMIN, chuẩn bị dữ liệu quản trị phù hợp.
3. Thực hiện: Đổi trang, mở chi tiết rồi quay lại.
4. Ghi nhận UI, HTTP response, log và dữ liệu database liên quan.</t>
  </si>
  <si>
    <t>Giữ keyword/filter/ngày/page.</t>
  </si>
  <si>
    <t>AORD-04</t>
  </si>
  <si>
    <t>Kiểm tra chi tiết, payment, timeline, người cập nhật.</t>
  </si>
  <si>
    <t>1. Mở TechStore trên môi trường test.
2. Đăng nhập bằng tài khoản ADMIN, chuẩn bị dữ liệu quản trị phù hợp.
3. Thực hiện: Kiểm tra chi tiết, payment, timeline, người cập nhật.
4. Ghi nhận UI, HTTP response, log và dữ liệu database liên quan.</t>
  </si>
  <si>
    <t>Dữ liệu đầy đủ và đúng nhãn tiếng Việt.</t>
  </si>
  <si>
    <t>AORD-05</t>
  </si>
  <si>
    <t>Chuyển đúng luồng PENDING→CONFIRMED→PROCESSING→SHIPPING→COMPLETED.</t>
  </si>
  <si>
    <t>1. Mở TechStore trên môi trường test.
2. Đăng nhập bằng tài khoản ADMIN, chuẩn bị dữ liệu quản trị phù hợp.
3. Thực hiện: Chuyển đúng luồng PENDING→CONFIRMED→PROCESSING→SHIPPING→COMPLETED.
4. Ghi nhận UI, HTTP response, log và dữ liệu database liên quan.</t>
  </si>
  <si>
    <t>Mỗi bước tạo history; trạng thái cuối đúng.</t>
  </si>
  <si>
    <t>AORD-06</t>
  </si>
  <si>
    <t>Thử bỏ bước, lùi trạng thái, đổi đơn terminal.</t>
  </si>
  <si>
    <t>1. Mở TechStore trên môi trường test.
2. Đăng nhập bằng tài khoản ADMIN, chuẩn bị dữ liệu quản trị phù hợp.
3. Thực hiện: Thử bỏ bước, lùi trạng thái, đổi đơn terminal.
4. Ghi nhận UI, HTTP response, log và dữ liệu database liên quan.</t>
  </si>
  <si>
    <t>AORD-07</t>
  </si>
  <si>
    <t>Chuyển COD sang COMPLETED.</t>
  </si>
  <si>
    <t>1. Mở TechStore trên môi trường test.
2. Đăng nhập bằng tài khoản ADMIN, chuẩn bị dữ liệu quản trị phù hợp.
3. Thực hiện: Chuyển COD sang COMPLETED.
4. Ghi nhận UI, HTTP response, log và dữ liệu database liên quan.</t>
  </si>
  <si>
    <t>Payment COD SUCCESS, PaidAt có giá trị, order payment PAID.</t>
  </si>
  <si>
    <t>AORD-08</t>
  </si>
  <si>
    <t>Hủy ở trạng thái cho phép, không nhập/nhập lý do &gt;500.</t>
  </si>
  <si>
    <t>1. Mở TechStore trên môi trường test.
2. Đăng nhập bằng tài khoản ADMIN, chuẩn bị dữ liệu quản trị phù hợp.
3. Thực hiện: Hủy ở trạng thái cho phép, không nhập/nhập lý do &gt;500.
4. Ghi nhận UI, HTTP response, log và dữ liệu database liên quan.</t>
  </si>
  <si>
    <t>Bắt buộc lý do hợp lệ, hoàn kho đúng một lần.</t>
  </si>
  <si>
    <t>AUSR-01</t>
  </si>
  <si>
    <t>Tìm tên/email/phone, lọc role/status, phân trang.</t>
  </si>
  <si>
    <t>1. Mở TechStore trên môi trường test.
2. Đăng nhập bằng tài khoản ADMIN, chuẩn bị dữ liệu quản trị phù hợp.
3. Thực hiện: Tìm tên/email/phone, lọc role/status, phân trang.
4. Ghi nhận UI, HTTP response, log và dữ liệu database liên quan.</t>
  </si>
  <si>
    <t>Kết quả đúng và giữ filter.</t>
  </si>
  <si>
    <t>AUSR-02</t>
  </si>
  <si>
    <t>Khóa customer rồi thử session mới/login.</t>
  </si>
  <si>
    <t>1. Mở TechStore trên môi trường test.
2. Đăng nhập bằng tài khoản ADMIN, chuẩn bị dữ liệu quản trị phù hợp.
3. Thực hiện: Khóa customer rồi thử session mới/login.
4. Ghi nhận UI, HTTP response, log và dữ liệu database liên quan.</t>
  </si>
  <si>
    <t>Không đăng nhập mới được.</t>
  </si>
  <si>
    <t>AUSR-03</t>
  </si>
  <si>
    <t>Mở khóa rồi đăng nhập lại.</t>
  </si>
  <si>
    <t>1. Mở TechStore trên môi trường test.
2. Đăng nhập bằng tài khoản ADMIN, chuẩn bị dữ liệu quản trị phù hợp.
3. Thực hiện: Mở khóa rồi đăng nhập lại.
4. Ghi nhận UI, HTTP response, log và dữ liệu database liên quan.</t>
  </si>
  <si>
    <t>Đăng nhập được.</t>
  </si>
  <si>
    <t>AUSR-04</t>
  </si>
  <si>
    <t>Admin tự khóa chính mình.</t>
  </si>
  <si>
    <t>1. Mở TechStore trên môi trường test.
2. Đăng nhập bằng tài khoản ADMIN, chuẩn bị dữ liệu quản trị phù hợp.
3. Thực hiện: Admin tự khóa chính mình.
4. Ghi nhận UI, HTTP response, log và dữ liệu database liên quan.</t>
  </si>
  <si>
    <t>AUSR-05</t>
  </si>
  <si>
    <t>Customer gửi POST trực tiếp tới admin users/orders/products.</t>
  </si>
  <si>
    <t>1. Mở TechStore trên môi trường test.
2. Đăng nhập bằng tài khoản ADMIN, chuẩn bị dữ liệu quản trị phù hợp.
3. Thực hiện: Customer gửi POST trực tiếp tới admin users/orders/products.
4. Ghi nhận UI, HTTP response, log và dữ liệu database liên quan.</t>
  </si>
  <si>
    <t>HTTP 403, không có thay đổi dữ liệu.</t>
  </si>
  <si>
    <t>6.1. CSRF, session, quyền và dữ liệu đầu vào</t>
  </si>
  <si>
    <t>SEC-01</t>
  </si>
  <si>
    <t>Gửi mọi POST không có _csrf, token sai và token của session khác.</t>
  </si>
  <si>
    <t>1. Mở TechStore trên môi trường test.
2. Chuẩn bị tài khoản CUSTOMER và ADMIN để kiểm tra authorization, CSRF và session.
3. Thực hiện: Gửi mọi POST không có _csrf, token sai và token của session khác.
4. Ghi nhận UI, HTTP response, log và dữ liệu database liên quan.</t>
  </si>
  <si>
    <t>HTTP 403, không thay đổi dữ liệu.</t>
  </si>
  <si>
    <t>Ưu tiên: P0
POST /login không có CSRF trả HTTP 403; ApplicationFilter áp dụng kiểm tra token cho toàn bộ unsafe methods.</t>
  </si>
  <si>
    <t>SEC-02</t>
  </si>
  <si>
    <t>Kiểm tra VNPay IPN không cần CSRF nhưng chữ ký sai.</t>
  </si>
  <si>
    <t>1. Mở TechStore trên môi trường test.
2. Chuẩn bị tài khoản CUSTOMER và ADMIN để kiểm tra authorization, CSRF và session.
3. Thực hiện: Kiểm tra VNPay IPN không cần CSRF nhưng chữ ký sai.
4. Ghi nhận UI, HTTP response, log và dữ liệu database liên quan.</t>
  </si>
  <si>
    <t>Không bị CSRF chặn; bị chữ ký chặn.</t>
  </si>
  <si>
    <t>Ưu tiên: P0
GET IPN không bị CSRF chặn; chữ ký/tham số không hợp lệ được trả kết quả lỗi an toàn.</t>
  </si>
  <si>
    <t>SEC-03</t>
  </si>
  <si>
    <t>Thử IDOR trên address, order, payment retry, variant/image/spec admin.</t>
  </si>
  <si>
    <t>1. Mở TechStore trên môi trường test.
2. Chuẩn bị tài khoản CUSTOMER và ADMIN để kiểm tra authorization, CSRF và session.
3. Thực hiện: Thử IDOR trên address, order, payment retry, variant/image/spec admin.
4. Ghi nhận UI, HTTP response, log và dữ liệu database liên quan.</t>
  </si>
  <si>
    <t>Không đọc/sửa/xóa dữ liệu ngoài quyền.</t>
  </si>
  <si>
    <t>SEC-04</t>
  </si>
  <si>
    <t>Thử URL savedUrl ngoài context hoặc /admin với customer.</t>
  </si>
  <si>
    <t>1. Mở TechStore trên môi trường test.
2. Chuẩn bị tài khoản CUSTOMER và ADMIN để kiểm tra authorization, CSRF và session.
3. Thực hiện: Thử URL savedUrl ngoài context hoặc /admin với customer.
4. Ghi nhận UI, HTTP response, log và dữ liệu database liên quan.</t>
  </si>
  <si>
    <t>Không open redirect, không vượt quyền.</t>
  </si>
  <si>
    <t>SEC-05</t>
  </si>
  <si>
    <t>Kiểm tra cookie bằng DevTools.</t>
  </si>
  <si>
    <t>1. Mở TechStore trên môi trường test.
2. Chuẩn bị tài khoản CUSTOMER và ADMIN để kiểm tra authorization, CSRF và session.
3. Thực hiện: Kiểm tra cookie bằng DevTools.
4. Ghi nhận UI, HTTP response, log và dữ liệu database liên quan.</t>
  </si>
  <si>
    <t>HttpOnly, timeout 30 phút, không dùng URL rewriting.</t>
  </si>
  <si>
    <t>SEC-06</t>
  </si>
  <si>
    <t>Kiểm tra response headers.</t>
  </si>
  <si>
    <t>1. Mở TechStore trên môi trường test.
2. Chuẩn bị tài khoản CUSTOMER và ADMIN để kiểm tra authorization, CSRF và session.
3. Thực hiện: Kiểm tra response headers.
4. Ghi nhận UI, HTTP response, log và dữ liệu database liên quan.</t>
  </si>
  <si>
    <t>Có nosniff, DENY, Referrer-Policy trên trang động.</t>
  </si>
  <si>
    <t>Ưu tiên: P1
HTTP probe xác nhận nosniff, X-Frame-Options DENY và Referrer-Policy trên trang động.</t>
  </si>
  <si>
    <t>SEC-07</t>
  </si>
  <si>
    <t>Nhập &lt;script&gt;, quote, HTML vào mọi trường text/tìm kiếm/ghi chú.</t>
  </si>
  <si>
    <t>1. Mở TechStore trên môi trường test.
2. Chuẩn bị tài khoản CUSTOMER và ADMIN để kiểm tra authorization, CSRF và session.
3. Thực hiện: Nhập &lt;script&gt;, quote, HTML vào mọi trường text/tìm kiếm/ghi chú.
4. Ghi nhận UI, HTTP response, log và dữ liệu database liên quan.</t>
  </si>
  <si>
    <t>Không thực thi script; output được escape.</t>
  </si>
  <si>
    <t>SEC-08</t>
  </si>
  <si>
    <t>Thử payload SQL injection vào login/search/filter/ID.</t>
  </si>
  <si>
    <t>1. Mở TechStore trên môi trường test.
2. Chuẩn bị tài khoản CUSTOMER và ADMIN để kiểm tra authorization, CSRF và session.
3. Thực hiện: Thử payload SQL injection vào login/search/filter/ID.
4. Ghi nhận UI, HTTP response, log và dữ liệu database liên quan.</t>
  </si>
  <si>
    <t>Không bypass login, không lỗi SQL/lộ stack trace, không đổi dữ liệu ngoài ý muốn.</t>
  </si>
  <si>
    <t>SEC-09</t>
  </si>
  <si>
    <t>Thử request quá dài, số cực lớn, ID âm/null/chữ.</t>
  </si>
  <si>
    <t>1. Mở TechStore trên môi trường test.
2. Chuẩn bị tài khoản CUSTOMER và ADMIN để kiểm tra authorization, CSRF và session.
3. Thực hiện: Thử request quá dài, số cực lớn, ID âm/null/chữ.
4. Ghi nhận UI, HTTP response, log và dữ liệu database liên quan.</t>
  </si>
  <si>
    <t>HTTP/thông báo hợp lý; không 500 hoặc treo.</t>
  </si>
  <si>
    <t>SEC-10</t>
  </si>
  <si>
    <t>Xem source/log/network khi dùng DB, mail, VNPay.</t>
  </si>
  <si>
    <t>1. Mở TechStore trên môi trường test.
2. Chuẩn bị tài khoản CUSTOMER và ADMIN để kiểm tra authorization, CSRF và session.
3. Thực hiện: Xem source/log/network khi dùng DB, mail, VNPay.
4. Ghi nhận UI, HTTP response, log và dữ liệu database liên quan.</t>
  </si>
  <si>
    <t>Không lộ password, hash secret, token reset hay connection credentials.</t>
  </si>
  <si>
    <t>SEC-11</t>
  </si>
  <si>
    <t>Kiểm tra cache trang Return VNPay và trang chứa dữ liệu nhạy cảm.</t>
  </si>
  <si>
    <t>1. Mở TechStore trên môi trường test.
2. Chuẩn bị tài khoản CUSTOMER và ADMIN để kiểm tra authorization, CSRF và session.
3. Thực hiện: Kiểm tra cache trang Return VNPay và trang chứa dữ liệu nhạy cảm.
4. Ghi nhận UI, HTTP response, log và dữ liệu database liên quan.</t>
  </si>
  <si>
    <t>VNPay result/IPN có no-store; đánh giá bổ sung no-store cho trang tài khoản nếu cần.</t>
  </si>
  <si>
    <t>Ưu tiên: P1
Trang VNPay Return và IPN đều có Cache-Control: no-store.</t>
  </si>
  <si>
    <t>SEC-12</t>
  </si>
  <si>
    <t>Thử brute force login trong test.</t>
  </si>
  <si>
    <t>1. Mở TechStore trên môi trường test.
2. Chuẩn bị tài khoản CUSTOMER và ADMIN để kiểm tra authorization, CSRF và session.
3. Thực hiện: Thử brute force login trong test.
4. Ghi nhận UI, HTTP response, log và dữ liệu database liên quan.</t>
  </si>
  <si>
    <t>Ghi nhận hiện chưa có rate limit chung; lập defect/risk nếu yêu cầu môn học có mục này.</t>
  </si>
  <si>
    <t>Ưu tiên: P1
Fail/Risk: chưa có cơ chế rate limiting hoặc khóa tạm cho đăng nhập; cần ghi defect bảo mật nếu đây là yêu cầu.</t>
  </si>
  <si>
    <t>6.2. Database, transaction và cạnh tranh</t>
  </si>
  <si>
    <t>DB-01</t>
  </si>
  <si>
    <t>Hai tài khoản cùng checkout SKU chỉ còn 1, gửi gần đồng thời.</t>
  </si>
  <si>
    <t>1. Mở TechStore trên môi trường test.
2. Dùng database test có thể phục hồi; chuẩn bị dữ liệu cạnh tranh và transaction.
3. Thực hiện: Hai tài khoản cùng checkout SKU chỉ còn 1, gửi gần đồng thời.
4. Ghi nhận UI, HTTP response, log và dữ liệu database liên quan.</t>
  </si>
  <si>
    <t>Chỉ một đơn thành công; đơn kia báo hết kho; stock không âm.</t>
  </si>
  <si>
    <t>DB-02</t>
  </si>
  <si>
    <t>Cố ý gây lỗi giữa lúc tạo OrderItems/Payment trong môi trường test.</t>
  </si>
  <si>
    <t>1. Mở TechStore trên môi trường test.
2. Dùng database test có thể phục hồi; chuẩn bị dữ liệu cạnh tranh và transaction.
3. Thực hiện: Cố ý gây lỗi giữa lúc tạo OrderItems/Payment trong môi trường test.
4. Ghi nhận UI, HTTP response, log và dữ liệu database liên quan.</t>
  </si>
  <si>
    <t>Rollback toàn bộ Order, items, payment, history và kho.</t>
  </si>
  <si>
    <t>DB-03</t>
  </si>
  <si>
    <t>Gửi hai request hủy cùng đơn gần đồng thời.</t>
  </si>
  <si>
    <t>1. Mở TechStore trên môi trường test.
2. Dùng database test có thể phục hồi; chuẩn bị dữ liệu cạnh tranh và transaction.
3. Thực hiện: Gửi hai request hủy cùng đơn gần đồng thời.
4. Ghi nhận UI, HTTP response, log và dữ liệu database liên quan.</t>
  </si>
  <si>
    <t>Chỉ một request hoàn kho; request còn lại thất bại.</t>
  </si>
  <si>
    <t>DB-04</t>
  </si>
  <si>
    <t>Gửi callback VNPay thành công đồng thời/lặp.</t>
  </si>
  <si>
    <t>1. Mở TechStore trên môi trường test.
2. Dùng database test có thể phục hồi; chuẩn bị dữ liệu cạnh tranh và transaction.
3. Thực hiện: Gửi callback VNPay thành công đồng thời/lặp.
4. Ghi nhận UI, HTTP response, log và dữ liệu database liên quan.</t>
  </si>
  <si>
    <t>Một payment thành công, không trùng provider transaction.</t>
  </si>
  <si>
    <t>DB-05</t>
  </si>
  <si>
    <t>Hai request đặt địa chỉ mặc định gần đồng thời.</t>
  </si>
  <si>
    <t>1. Mở TechStore trên môi trường test.
2. Dùng database test có thể phục hồi; chuẩn bị dữ liệu cạnh tranh và transaction.
3. Thực hiện: Hai request đặt địa chỉ mặc định gần đồng thời.
4. Ghi nhận UI, HTTP response, log và dữ liệu database liên quan.</t>
  </si>
  <si>
    <t>Mỗi user vẫn chỉ có một địa chỉ mặc định.</t>
  </si>
  <si>
    <t>DB-06</t>
  </si>
  <si>
    <t>Chạy lại các script upgrade đã áp dụng.</t>
  </si>
  <si>
    <t>1. Mở TechStore trên môi trường test.
2. Dùng database test có thể phục hồi; chuẩn bị dữ liệu cạnh tranh và transaction.
3. Thực hiện: Chạy lại các script upgrade đã áp dụng.
4. Ghi nhận UI, HTTP response, log và dữ liệu database liên quan.</t>
  </si>
  <si>
    <t>Script idempotent hoặc thông báo rõ; không phá schema/dữ liệu.</t>
  </si>
  <si>
    <t>DB-07</t>
  </si>
  <si>
    <t>Dừng SQL Server giữa request ghi dữ liệu.</t>
  </si>
  <si>
    <t>1. Mở TechStore trên môi trường test.
2. Dùng database test có thể phục hồi; chuẩn bị dữ liệu cạnh tranh và transaction.
3. Thực hiện: Dừng SQL Server giữa request ghi dữ liệu.
4. Ghi nhận UI, HTTP response, log và dữ liệu database liên quan.</t>
  </si>
  <si>
    <t>Transaction rollback; UI báo lỗi an toàn; sau khi bật lại hệ thống phục hồi.</t>
  </si>
  <si>
    <t>DB-08</t>
  </si>
  <si>
    <t>Backup database test, thêm dữ liệu rồi restore.</t>
  </si>
  <si>
    <t>1. Mở TechStore trên môi trường test.
2. Dùng database test có thể phục hồi; chuẩn bị dữ liệu cạnh tranh và transaction.
3. Thực hiện: Backup database test, thêm dữ liệu rồi restore.
4. Ghi nhận UI, HTTP response, log và dữ liệu database liên quan.</t>
  </si>
  <si>
    <t>Restore thành công, ứng dụng đọc lại được.</t>
  </si>
  <si>
    <t>6.3. Responsive, trình duyệt và accessibility</t>
  </si>
  <si>
    <t>UI-01</t>
  </si>
  <si>
    <t>Kiểm tra 1440, 1024, 768, 500 và 390 px trên mọi trang chính.</t>
  </si>
  <si>
    <t>1. Mở TechStore trên môi trường test.
2. Chuẩn bị Chrome, Edge, Firefox và các viewport desktop, tablet, mobile.
3. Thực hiện: Kiểm tra 1440, 1024, 768, 500 và 390 px trên mọi trang chính.
4. Ghi nhận UI, HTTP response, log và dữ liệu database liên quan.</t>
  </si>
  <si>
    <t>Không tràn ngang, che nội dung hoặc mất thao tác chính.</t>
  </si>
  <si>
    <t>UI-02</t>
  </si>
  <si>
    <t>Kiểm tra Chrome, Edge, Firefox.</t>
  </si>
  <si>
    <t>1. Mở TechStore trên môi trường test.
2. Chuẩn bị Chrome, Edge, Firefox và các viewport desktop, tablet, mobile.
3. Thực hiện: Kiểm tra Chrome, Edge, Firefox.
4. Ghi nhận UI, HTTP response, log và dữ liệu database liên quan.</t>
  </si>
  <si>
    <t>Chức năng và layout nhất quán; form/date/details hoạt động.</t>
  </si>
  <si>
    <t>UI-03</t>
  </si>
  <si>
    <t>Dùng Tab/Shift+Tab/Enter/Space/Escape toàn bộ storefront.</t>
  </si>
  <si>
    <t>1. Mở TechStore trên môi trường test.
2. Chuẩn bị Chrome, Edge, Firefox và các viewport desktop, tablet, mobile.
3. Thực hiện: Dùng Tab/Shift+Tab/Enter/Space/Escape toàn bộ storefront.
4. Ghi nhận UI, HTTP response, log và dữ liệu database liên quan.</t>
  </si>
  <si>
    <t>Thứ tự focus hợp lý, focus luôn thấy, mọi thao tác làm được bằng bàn phím.</t>
  </si>
  <si>
    <t>UI-04</t>
  </si>
  <si>
    <t>Mở menu, bộ lọc mobile và sidebar admin bằng bàn phím.</t>
  </si>
  <si>
    <t>1. Mở TechStore trên môi trường test.
2. Chuẩn bị Chrome, Edge, Firefox và các viewport desktop, tablet, mobile.
3. Thực hiện: Mở menu, bộ lọc mobile và sidebar admin bằng bàn phím.
4. Ghi nhận UI, HTTP response, log và dữ liệu database liên quan.</t>
  </si>
  <si>
    <t>Focus bị giữ trong drawer, Escape đóng, focus trở về nút mở.</t>
  </si>
  <si>
    <t>UI-05</t>
  </si>
  <si>
    <t>Dùng skip link ở storefront/admin.</t>
  </si>
  <si>
    <t>1. Mở TechStore trên môi trường test.
2. Chuẩn bị Chrome, Edge, Firefox và các viewport desktop, tablet, mobile.
3. Thực hiện: Dùng skip link ở storefront/admin.
4. Ghi nhận UI, HTTP response, log và dữ liệu database liên quan.</t>
  </si>
  <si>
    <t>Bỏ qua điều hướng và focus tới nội dung chính.</t>
  </si>
  <si>
    <t>UI-06</t>
  </si>
  <si>
    <t>Dùng screen reader kiểm tra form, ảnh, nút icon, alert và trạng thái.</t>
  </si>
  <si>
    <t>1. Mở TechStore trên môi trường test.
2. Chuẩn bị Chrome, Edge, Firefox và các viewport desktop, tablet, mobile.
3. Thực hiện: Dùng screen reader kiểm tra form, ảnh, nút icon, alert và trạng thái.
4. Ghi nhận UI, HTTP response, log và dữ liệu database liên quan.</t>
  </si>
  <si>
    <t>Có label/tên truy cập/alt; thông báo lỗi/thành công được đọc.</t>
  </si>
  <si>
    <t>UI-07</t>
  </si>
  <si>
    <t>Bật prefers-reduced-motion.</t>
  </si>
  <si>
    <t>1. Mở TechStore trên môi trường test.
2. Chuẩn bị Chrome, Edge, Firefox và các viewport desktop, tablet, mobile.
3. Thực hiện: Bật prefers-reduced-motion.
4. Ghi nhận UI, HTTP response, log và dữ liệu database liên quan.</t>
  </si>
  <si>
    <t>Animation/transition được giảm đáng kể.</t>
  </si>
  <si>
    <t>UI-08</t>
  </si>
  <si>
    <t>Zoom trình duyệt 200% và tăng font hệ thống.</t>
  </si>
  <si>
    <t>1. Mở TechStore trên môi trường test.
2. Chuẩn bị Chrome, Edge, Firefox và các viewport desktop, tablet, mobile.
3. Thực hiện: Zoom trình duyệt 200% và tăng font hệ thống.
4. Ghi nhận UI, HTTP response, log và dữ liệu database liên quan.</t>
  </si>
  <si>
    <t>Nội dung vẫn đọc/thao tác được, không mất dữ liệu.</t>
  </si>
  <si>
    <t>UI-09</t>
  </si>
  <si>
    <t>Kiểm tra tương phản bằng Lighthouse/axe/DevTools.</t>
  </si>
  <si>
    <t>1. Mở TechStore trên môi trường test.
2. Chuẩn bị Chrome, Edge, Firefox và các viewport desktop, tablet, mobile.
3. Thực hiện: Kiểm tra tương phản bằng Lighthouse/axe/DevTools.
4. Ghi nhận UI, HTTP response, log và dữ liệu database liên quan.</t>
  </si>
  <si>
    <t>Chữ, focus, badge và button đạt WCAG AA phù hợp.</t>
  </si>
  <si>
    <t>UI-10</t>
  </si>
  <si>
    <t>Kiểm tra trạng thái loading, empty, error, disabled, out-of-stock.</t>
  </si>
  <si>
    <t>1. Mở TechStore trên môi trường test.
2. Chuẩn bị Chrome, Edge, Firefox và các viewport desktop, tablet, mobile.
3. Thực hiện: Kiểm tra trạng thái loading, empty, error, disabled, out-of-stock.
4. Ghi nhận UI, HTTP response, log và dữ liệu database liên quan.</t>
  </si>
  <si>
    <t>Không chỉ dùng màu; thông điệp và hành động tiếp theo rõ ràng.</t>
  </si>
  <si>
    <t>UI-11</t>
  </si>
  <si>
    <t>Nhập tiếng Việt ở tài khoản, địa chỉ, tìm kiếm, ghi chú, admin và CSV.</t>
  </si>
  <si>
    <t>1. Mở TechStore trên môi trường test.
2. Chuẩn bị Chrome, Edge, Firefox và các viewport desktop, tablet, mobile.
3. Thực hiện: Nhập tiếng Việt ở tài khoản, địa chỉ, tìm kiếm, ghi chú, admin và CSV.
4. Ghi nhận UI, HTTP response, log và dữ liệu database liên quan.</t>
  </si>
  <si>
    <t>Không có chuỗi lỗi kiểu Ã, Ä, â; lưu/đọc UTF-8 đúng.</t>
  </si>
  <si>
    <t>6.4. Hiệu năng, ổn định và deploy</t>
  </si>
  <si>
    <t>PERF-01</t>
  </si>
  <si>
    <t>Đo /home, /products, /product, /cart sau warm-up trên máy local.</t>
  </si>
  <si>
    <t>1. Mở TechStore trên môi trường test.
2. Chuẩn bị môi trường test, dữ liệu lớn hoặc bản deploy sạch theo nội dung test case.
3. Thực hiện: Đo /home, /products, /product, /cart sau warm-up trên máy local.
4. Ghi nhận UI, HTTP response, log và dữ liệu database liên quan.</t>
  </si>
  <si>
    <t>Phần lớn request dưới 2 giây, không query/lỗi tăng bất thường.</t>
  </si>
  <si>
    <t>PERF-02</t>
  </si>
  <si>
    <t>20 user đồng thời duyệt catalog 5 phút.</t>
  </si>
  <si>
    <t>1. Mở TechStore trên môi trường test.
2. Chuẩn bị môi trường test, dữ liệu lớn hoặc bản deploy sạch theo nội dung test case.
3. Thực hiện: 20 user đồng thời duyệt catalog 5 phút.
4. Ghi nhận UI, HTTP response, log và dữ liệu database liên quan.</t>
  </si>
  <si>
    <t>Không 5xx, không cạn connection, response ổn định.</t>
  </si>
  <si>
    <t>PERF-03</t>
  </si>
  <si>
    <t>10 user đồng thời checkout SKU tồn kho thấp.</t>
  </si>
  <si>
    <t>1. Mở TechStore trên môi trường test.
2. Chuẩn bị môi trường test, dữ liệu lớn hoặc bản deploy sạch theo nội dung test case.
3. Thực hiện: 10 user đồng thời checkout SKU tồn kho thấp.
4. Ghi nhận UI, HTTP response, log và dữ liệu database liên quan.</t>
  </si>
  <si>
    <t>Đúng tính toàn vẹn kho như DB-01.</t>
  </si>
  <si>
    <t>PERF-04</t>
  </si>
  <si>
    <t>Catalog/admin có hàng nghìn sản phẩm/user/đơn.</t>
  </si>
  <si>
    <t>1. Mở TechStore trên môi trường test.
2. Chuẩn bị môi trường test, dữ liệu lớn hoặc bản deploy sạch theo nội dung test case.
3. Thực hiện: Catalog/admin có hàng nghìn sản phẩm/user/đơn.
4. Ghi nhận UI, HTTP response, log và dữ liệu database liên quan.</t>
  </si>
  <si>
    <t>Phân trang hoạt động; không tải toàn bộ gây chậm quá mức. Ghi chú: admin products/users hiện lọc trên danh sách lấy từ Service nên cần theo dõi RAM/thời gian.</t>
  </si>
  <si>
    <t>OPS-01</t>
  </si>
  <si>
    <t>Chạy mvn clean package.</t>
  </si>
  <si>
    <t>1. Mở TechStore trên môi trường test.
2. Chuẩn bị môi trường test, dữ liệu lớn hoặc bản deploy sạch theo nội dung test case.
3. Thực hiện: Chạy mvn clean package.
4. Ghi nhận UI, HTTP response, log và dữ liệu database liên quan.</t>
  </si>
  <si>
    <t>Build thành công và tạo WAR.</t>
  </si>
  <si>
    <t>Ưu tiên: P0
Đã chạy mvn clean package: BUILD SUCCESS và tạo WAR. Lưu ý Surefire không tự nhận lớp test tên test.</t>
  </si>
  <si>
    <t>OPS-02</t>
  </si>
  <si>
    <t>Deploy WAR lên một Tomcat sạch, không dùng thư mục publish cũ của Eclipse.</t>
  </si>
  <si>
    <t>1. Mở TechStore trên môi trường test.
2. Chuẩn bị môi trường test, dữ liệu lớn hoặc bản deploy sạch theo nội dung test case.
3. Thực hiện: Deploy WAR lên một Tomcat sạch, không dùng thư mục publish cũ của Eclipse.
4. Ghi nhận UI, HTTP response, log và dữ liệu database liên quan.</t>
  </si>
  <si>
    <t>Khởi động không lỗi, /health đạt, mọi asset/JSP tải được.</t>
  </si>
  <si>
    <t>Ưu tiên: P0
Deploy WAR lên CATALINA_BASE tạm sạch; /health 200, asset tải được và integration test đạt 36/36.</t>
  </si>
  <si>
    <t>OPS-03</t>
  </si>
  <si>
    <t>Restart Tomcat trong lúc có dữ liệu đã tạo.</t>
  </si>
  <si>
    <t>1. Mở TechStore trên môi trường test.
2. Chuẩn bị môi trường test, dữ liệu lớn hoặc bản deploy sạch theo nội dung test case.
3. Thực hiện: Restart Tomcat trong lúc có dữ liệu đã tạo.
4. Ghi nhận UI, HTTP response, log và dữ liệu database liên quan.</t>
  </si>
  <si>
    <t>Dữ liệu bền vững; session cũ hết hiệu lực hợp lý.</t>
  </si>
  <si>
    <t>OPS-04</t>
  </si>
  <si>
    <t>Redeploy sau khi đã upload ảnh.</t>
  </si>
  <si>
    <t>1. Mở TechStore trên môi trường test.
2. Chuẩn bị môi trường test, dữ liệu lớn hoặc bản deploy sạch theo nội dung test case.
3. Thực hiện: Redeploy sau khi đã upload ảnh.
4. Ghi nhận UI, HTTP response, log và dữ liệu database liên quan.</t>
  </si>
  <si>
    <t>Ghi nhận rủi ro ảnh local bị mất; chưa coi đạt production cho tới khi tách storage.</t>
  </si>
  <si>
    <t>OPS-05</t>
  </si>
  <si>
    <t>Kiểm tra môi trường production giả lập.</t>
  </si>
  <si>
    <t>1. Mở TechStore trên môi trường test.
2. Chuẩn bị môi trường test, dữ liệu lớn hoặc bản deploy sạch theo nội dung test case.
3. Thực hiện: Kiểm tra môi trường production giả lập.
4. Ghi nhận UI, HTTP response, log và dữ liệu database liên quan.</t>
  </si>
  <si>
    <t>Không dùng sa; secret chỉ ở env; URL Return VNPay và app URL đúng domain HTTPS.</t>
  </si>
  <si>
    <t>OPS-06</t>
  </si>
  <si>
    <t>Xem log khi lỗi DB/mail/payment/upload.</t>
  </si>
  <si>
    <t>1. Mở TechStore trên môi trường test.
2. Chuẩn bị môi trường test, dữ liệu lớn hoặc bản deploy sạch theo nội dung test case.
3. Thực hiện: Xem log khi lỗi DB/mail/payment/upload.
4. Ghi nhận UI, HTTP response, log và dữ liệu database liên quan.</t>
  </si>
  <si>
    <t>Có đủ thông tin chẩn đoán nhưng không chứa password, token hay secret.</t>
  </si>
  <si>
    <t>TEST REPORT</t>
  </si>
  <si>
    <t>Note:</t>
  </si>
  <si>
    <t>Date</t>
  </si>
  <si>
    <t>No</t>
  </si>
  <si>
    <t>Module code</t>
  </si>
  <si>
    <t>Number of test cases</t>
  </si>
  <si>
    <t>5.1 - Hệ thống và điều hướng</t>
  </si>
  <si>
    <t>5.2 - Đăng ký, đăng nhập và session</t>
  </si>
  <si>
    <t>5.3 - Quên và đặt lại mật khẩu</t>
  </si>
  <si>
    <t>5.4 - Trang chủ, catalog và chi tiết sản phẩm</t>
  </si>
  <si>
    <t>5.5 - Yêu thích</t>
  </si>
  <si>
    <t>5.6 - Giỏ hàng</t>
  </si>
  <si>
    <t>5.7 - Hồ sơ và địa chỉ</t>
  </si>
  <si>
    <t>5.8 - Checkout COD và tạo đơn</t>
  </si>
  <si>
    <t>5.9 - Lịch sử, chi tiết và hủy đơn</t>
  </si>
  <si>
    <t>5.10 - VNPay sandbox</t>
  </si>
  <si>
    <t>5.11 - Admin dashboard và báo cáo</t>
  </si>
  <si>
    <t>5.12 - Admin catalog, sản phẩm và tài sản</t>
  </si>
  <si>
    <t>5.13 - Admin đơn hàng và người dùng</t>
  </si>
  <si>
    <t>6.1 - CSRF, session, quyền và dữ liệu đầu vào</t>
  </si>
  <si>
    <t>6.2 - Database, transaction và cạnh tranh</t>
  </si>
  <si>
    <t>6.3 - Responsive, trình duyệt và accessibility</t>
  </si>
  <si>
    <t>6.4 - Hiệu năng, ổn định và deploy</t>
  </si>
  <si>
    <t>Sub total</t>
  </si>
  <si>
    <t>Test coverage</t>
  </si>
  <si>
    <t>%</t>
  </si>
  <si>
    <t>Test successful coverage</t>
  </si>
  <si>
    <t>Ưu tiên: P1
Đợt 3/3 - 15/10/2026 - Pass: CRUD/order SQL=CPU=X1|Memory=8 GB; detail HTTP=200</t>
  </si>
  <si>
    <t>Ưu tiên: P1
Đợt 3/3 - 15/10/2026 - Pass: invalid variants kept rows 2-&gt;2</t>
  </si>
  <si>
    <t>Ưu tiên: P0
Đợt 3/3 - 15/10/2026 - Pass: cross-product spec unchanged=159|Khác|Gốc</t>
  </si>
  <si>
    <t>Ưu tiên: P1
Đợt 3/3 - 15/10/2026 - Pass: 6 searches/filters returned controlled result pages=True</t>
  </si>
  <si>
    <t>Ưu tiên: P1
Đợt 3/3 - 15/10/2026 - Pass: invalid filter HTTP=200,200,200,200</t>
  </si>
  <si>
    <t>Ưu tiên: P1
Đợt 3/3 - 15/10/2026 - Pass: Mở chi tiết rồi quay lại vẫn giữ q, status, from, to và page=2.</t>
  </si>
  <si>
    <t>Ưu tiên: P1
Đợt 3/3 - 15/10/2026 - Pass: detail/payment/timeline/updater labels=True</t>
  </si>
  <si>
    <t>Ưu tiên: P0
Đợt 3/3 - 15/10/2026 - Pass: flow=COMPLETED|5|PAID</t>
  </si>
  <si>
    <t>Ưu tiên: P0
Đợt 3/3 - 15/10/2026 - Pass: invalid transitions=PENDING|1|COMPLETED</t>
  </si>
  <si>
    <t>Ưu tiên: P0
Đợt 3/3 - 15/10/2026 - Pass: COD completion=SUCCESS|SET|PAID</t>
  </si>
  <si>
    <t>Ưu tiên: P0
Đợt 3/3 - 15/10/2026 - Pass: beforeValid=PENDING|9; after/repeat=CANCELLED|10|1</t>
  </si>
  <si>
    <t>Ưu tiên: P1
Đợt 3/3 - 15/10/2026 - Pass: search name/email/phone role/status/page=True</t>
  </si>
  <si>
    <t>Ưu tiên: P0
Đợt 3/3 - 15/10/2026 - Pass: status=LOCKED; loginUri=http://localhost:8080/TechStore/login</t>
  </si>
  <si>
    <t>Ưu tiên: P1
Đợt 3/3 - 15/10/2026 - Pass: status=ACTIVE; loginUri=http://localhost:8080/TechStore/home</t>
  </si>
  <si>
    <t>Ưu tiên: P0
Đợt 3/3 - 15/10/2026 - Pass: admin self status=ACTIVE</t>
  </si>
  <si>
    <t>Ưu tiên: P0
Đợt 3/3 - 15/10/2026 - Pass: HTTP=403,403,403; unchanged=True</t>
  </si>
  <si>
    <t>Ưu tiên: P0
Đợt 3/3 - 15/10/2026 - Pass: address unchanged; order=403; payment=1-&gt;1; assets=403/403/403</t>
  </si>
  <si>
    <t>Ưu tiên: P0
Đợt 3/3 - 15/10/2026 - Pass: guest=http://localhost:8080/TechStore/login; login=http://localhost:8080/TechStore/home; admin=403</t>
  </si>
  <si>
    <t>Ưu tiên: P1
Đợt 3/3 - 15/10/2026 - Pass: Set-Cookie HttpOnly=True; timeout/tracking/noRewrite verified</t>
  </si>
  <si>
    <t>Ưu tiên: P0
Đợt 3/3 - 15/10/2026 - Pass: rawScript=False; encoded=True</t>
  </si>
  <si>
    <t>Ưu tiên: P0
Đợt 3/3 - 15/10/2026 - Fail: login/search/admin/id=200/200/200/500</t>
  </si>
  <si>
    <t>Ưu tiên: P1
Đợt 3/3 - 15/10/2026 - Fail: HTTP long/huge/negative/text=500/500/404/500</t>
  </si>
  <si>
    <t>Ưu tiên: P0
Đợt 3/3 - 15/10/2026 - Pass: real secret present in source/log=False; env placeholders present</t>
  </si>
  <si>
    <t>Ưu tiên: P0
Đợt 3/3 - 15/10/2026 - Pass: stock|orders|negative=0|1|0</t>
  </si>
  <si>
    <t>Ưu tiên: P0
Đợt 3/3 - 15/10/2026 - Pass: Fault tại bước Payment làm rollback toàn bộ Order, OrderItems, Payment, History và tồn kho; không có orphan.</t>
  </si>
  <si>
    <t>Ưu tiên: P0
Đợt 3/3 - 15/10/2026 - Pass: state=CANCELLED|10|1</t>
  </si>
  <si>
    <t>Ưu tiên: P0
Đợt 3/3 - 15/10/2026 - Pass: state=SUCCESS|PAID|7261015124902|1</t>
  </si>
  <si>
    <t>Ưu tiên: P0
Đợt 3/3 - 15/10/2026 - Fail: default=0|</t>
  </si>
  <si>
    <t>Ưu tiên: P1
Đợt 3/3 - 15/10/2026 - Pass: Chạy lại 5 script upgrade trong 2 lượt; schema 16 bảng/1.345 cột và dữ liệu 1.042 sản phẩm không đổi.</t>
  </si>
  <si>
    <t>Ưu tiên: P1
Đợt 3/3 - 15/10/2026 - Pass: database forced offline mid-write; rollback=True; outage HTTP=0; safe error=True; recovered=200</t>
  </si>
  <si>
    <t>Ưu tiên: P0
Đợt 3/3 - 15/10/2026 - Pass: backup/restore marker=True; JDBC application read=TechStore_B3_20261015124902|QUIAZ\ADMIN|1042</t>
  </si>
  <si>
    <t>Ưu tiên: P1
Đợt 3/3 - 15/10/2026 - Fail: 45 viewport/page checks; failures=1440:users=false,1024:users=false,768:admin=false,768:users=false,500:users=false,390:users=false</t>
  </si>
  <si>
    <t>Ưu tiên: P1
Đợt 3/3 - 15/10/2026 - Pass: Chrome=true; Edge=true; Firefox=true</t>
  </si>
  <si>
    <t>Ưu tiên: P1
Đợt 3/3 - 15/10/2026 - Pass: 18 Tab stops; tags=A,INPUT,BUTTON,SELECT; visible/actionable=true</t>
  </si>
  <si>
    <t>Ưu tiên: P1
Đợt 3/3 - 15/10/2026 - Pass: store menu, catalog filter and admin sidebar trap/Escape/return=true</t>
  </si>
  <si>
    <t>Ưu tiên: P1
Đợt 3/3 - 15/10/2026 - Pass: storefront/admin skip-link moves focus to main=true</t>
  </si>
  <si>
    <t>Ưu tiên: P1
Đợt 3/3 - 15/10/2026 - Pass: accessibility tree: images=4/badAlt=0, iconNamesBad=0, fieldNamesBad=0, liveRegions=2</t>
  </si>
  <si>
    <t>Ưu tiên: P2
Đợt 3/3 - 15/10/2026 - Pass: prefers-reduced-motion computed durations=[{"a":"1e-05s","t":"1e-05s","scroll":"auto"},{"a":"1e-05s","t":"1e-05s","scroll":"auto"},{"a":"1e-05s","t":"1e-05s","scroll":"auto"}]</t>
  </si>
  <si>
    <t>Ưu tiên: P1
Đợt 3/3 - 15/10/2026 - Pass: 200% text/reflow on 4 storefront pages readable without document overflow=true</t>
  </si>
  <si>
    <t>Ưu tiên: P1
Đợt 3/3 - 15/10/2026 - Pass: 104/120 non-gradient direct-text samples; failures=none; minimum=4.83</t>
  </si>
  <si>
    <t>Ưu tiên: P2
Đợt 3/3 - 15/10/2026 - Pass: empty=true; 404=true; disabled controls observed=3; loading/disable cue=true</t>
  </si>
  <si>
    <t>Ưu tiên: P1
Đợt 3/3 - 15/10/2026 - Pass: CSV status=200; mojibake=none</t>
  </si>
  <si>
    <t>Ưu tiên: P1
Đợt 3/3 - 15/10/2026 - Pass: avg=45ms max=89ms</t>
  </si>
  <si>
    <t>Ưu tiên: P1
Đợt 3/3 - 15/10/2026 - Pass: 20 users/300s; requests=5835; networkErrors=0; HTTP5xx=0; p95=37ms; max=405ms</t>
  </si>
  <si>
    <t>Ưu tiên: P0
Đợt 3/3 - 15/10/2026 - Pass: state=0|3|0</t>
  </si>
  <si>
    <t>Ưu tiên: P1
Đợt 3/3 - 15/10/2026 - Pass: pagination=True max=114ms</t>
  </si>
  <si>
    <t>Ưu tiên: P1
Đợt 3/3 - 15/10/2026 - Pass: Restart Tomcat giữ dữ liệu DB; JSESSIONID cũ nhận 302 về /login; /health trả 200.</t>
  </si>
  <si>
    <t>Ưu tiên: P1
Đợt 3/3 - 15/10/2026 - Pass: Redeploy làm mất file ảnh local và URL trả 404 trong khi DB còn record; đã tái hiện và ghi nhận rủi ro storage production.</t>
  </si>
  <si>
    <t>Ưu tiên: P0
Đợt 3/3 - 15/10/2026 - Fail: env secret/no-sa=True; HTTPS app.url=False</t>
  </si>
  <si>
    <t>Ưu tiên: P1
Đợt 3/3 - 15/10/2026 - Pass: diagnostic=True secretLeak=False</t>
  </si>
  <si>
    <t>15/10/2026: Hoàn tất đợt 3/3 (50 test case): 45 Pass, 5 Fail. Tổng kết quả: 179 Pass, 9 Fail, 0 Pending. Đã kiểm tra admin, security, transaction, database, UI/accessibility, hiệu năng và deploy; dữ liệu test tạm được dọn sau khi ghi nhận.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</si>
</sst>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"/>
    <numFmt numFmtId="166" formatCode="dd\-mmm\-yy"/>
  </numFmts>
  <fonts count="8">
    <font>
      <sz val="11"/>
      <name val="Carlito"/>
    </font>
    <font>
      <sz val="10"/>
      <color rgb="FF111111"/>
      <name val="Tahoma"/>
    </font>
    <font>
      <b/>
      <sz val="18"/>
      <color rgb="FF111111"/>
      <name val="Tahoma"/>
    </font>
    <font>
      <b/>
      <sz val="10"/>
      <color rgb="FF9C3A00"/>
      <name val="Tahoma"/>
    </font>
    <font>
      <b/>
      <sz val="10"/>
      <color rgb="FFFFFFFF"/>
      <name val="Tahoma"/>
    </font>
    <font>
      <b/>
      <sz val="10"/>
      <color rgb="FF111111"/>
      <name val="Tahoma"/>
    </font>
    <font>
      <sz val="9"/>
      <color rgb="FF111111"/>
      <name val="Tahoma"/>
    </font>
    <font>
      <b/>
      <sz val="12"/>
      <color rgb="FF000080"/>
      <name val="Tahoma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3.5"/>
  <cols>
    <col min="2" max="2" width="18" customWidth="1"/>
    <col min="3" max="3" width="14" customWidth="1"/>
    <col min="4" max="4" width="19" customWidth="1"/>
    <col min="5" max="5" width="38" customWidth="1"/>
    <col min="6" max="6" width="23" customWidth="1"/>
    <col min="7" max="7" width="22" customWidth="1"/>
    <col min="8" max="8" width="3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4.05" customHeight="1">
      <c r="A2" s="1"/>
      <c r="B2" s="23" t="s">
        <v>0</v>
      </c>
      <c r="C2" s="23"/>
      <c r="D2" s="23"/>
      <c r="E2" s="23"/>
      <c r="F2" s="23"/>
      <c r="G2" s="23"/>
      <c r="H2" s="23"/>
    </row>
    <row r="3" spans="1:8">
      <c r="A3" s="1"/>
      <c r="B3" s="4" t="s">
        <v>1</v>
      </c>
      <c r="C3" s="2">
        <v>1</v>
      </c>
      <c r="D3" s="1"/>
      <c r="E3" s="1"/>
      <c r="F3" s="1"/>
      <c r="G3" s="1"/>
      <c r="H3" s="1"/>
    </row>
    <row r="4" spans="1:8">
      <c r="A4" s="1"/>
      <c r="B4" s="4" t="s">
        <v>2</v>
      </c>
      <c r="C4" s="3">
        <v>46310</v>
      </c>
      <c r="D4" s="1"/>
      <c r="E4" s="1"/>
      <c r="F4" s="1"/>
      <c r="G4" s="1"/>
      <c r="H4" s="1"/>
    </row>
    <row r="5" spans="1:8">
      <c r="A5" s="1"/>
      <c r="B5" s="4"/>
      <c r="C5" s="1"/>
      <c r="D5" s="1"/>
      <c r="E5" s="1"/>
      <c r="F5" s="1"/>
      <c r="G5" s="1"/>
      <c r="H5" s="1"/>
    </row>
    <row r="6" spans="1:8">
      <c r="A6" s="1"/>
      <c r="B6" s="4" t="s">
        <v>3</v>
      </c>
      <c r="C6" s="25" t="s">
        <v>4</v>
      </c>
      <c r="D6" s="25"/>
      <c r="E6" s="25"/>
      <c r="F6" s="25"/>
      <c r="G6" s="25"/>
      <c r="H6" s="25"/>
    </row>
    <row r="7" spans="1:8">
      <c r="A7" s="1"/>
      <c r="B7" s="4" t="s">
        <v>5</v>
      </c>
      <c r="C7" s="25" t="s">
        <v>6</v>
      </c>
      <c r="D7" s="25"/>
      <c r="E7" s="25"/>
      <c r="F7" s="25"/>
      <c r="G7" s="25"/>
      <c r="H7" s="25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4" t="s">
        <v>7</v>
      </c>
      <c r="C10" s="1"/>
      <c r="D10" s="1"/>
      <c r="E10" s="1"/>
      <c r="F10" s="1"/>
      <c r="G10" s="1"/>
      <c r="H10" s="1"/>
    </row>
    <row r="11" spans="1:8" ht="4.3499999999999996" customHeight="1">
      <c r="A11" s="1"/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</row>
    <row r="12" spans="1:8" ht="5.85" customHeight="1">
      <c r="A12" s="1"/>
      <c r="B12" s="7">
        <v>46310</v>
      </c>
      <c r="C12" s="8">
        <v>1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</row>
    <row r="13" spans="1:8">
      <c r="A13" s="1"/>
      <c r="B13" s="5"/>
      <c r="C13" s="5"/>
      <c r="D13" s="5"/>
      <c r="E13" s="5"/>
      <c r="F13" s="5"/>
      <c r="G13" s="5"/>
      <c r="H13" s="5"/>
    </row>
    <row r="14" spans="1:8">
      <c r="A14" s="1"/>
      <c r="B14" s="5"/>
      <c r="C14" s="5"/>
      <c r="D14" s="5"/>
      <c r="E14" s="5"/>
      <c r="F14" s="5"/>
      <c r="G14" s="5"/>
      <c r="H14" s="5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</sheetData>
  <mergeCells count="3">
    <mergeCell ref="B2:H2"/>
    <mergeCell ref="C6:H6"/>
    <mergeCell ref="C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6"/>
  <sheetViews>
    <sheetView tabSelected="1" zoomScale="88" zoomScaleNormal="70" workbookViewId="0">
      <pane xSplit="1" ySplit="9" topLeftCell="B11" activePane="bottomRight" state="frozen"/>
      <selection pane="topRight"/>
      <selection pane="bottomLeft"/>
      <selection pane="bottomRight" activeCell="L187" sqref="L187"/>
    </sheetView>
  </sheetViews>
  <sheetFormatPr defaultRowHeight="13.5"/>
  <cols>
    <col min="1" max="1" width="12" customWidth="1"/>
    <col min="2" max="2" width="34" customWidth="1"/>
    <col min="3" max="3" width="52" customWidth="1"/>
    <col min="4" max="7" width="15" customWidth="1"/>
    <col min="8" max="8" width="14" customWidth="1"/>
    <col min="9" max="9" width="12" customWidth="1"/>
    <col min="10" max="10" width="18" customWidth="1"/>
  </cols>
  <sheetData>
    <row r="1" spans="1:10" ht="32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3" spans="1:10">
      <c r="A3" s="9" t="s">
        <v>20</v>
      </c>
      <c r="B3" s="10" t="s">
        <v>21</v>
      </c>
      <c r="C3" s="11"/>
      <c r="D3" s="11"/>
    </row>
    <row r="4" spans="1:10">
      <c r="A4" s="9" t="s">
        <v>22</v>
      </c>
      <c r="B4" s="10" t="s">
        <v>23</v>
      </c>
      <c r="C4" s="11"/>
      <c r="D4" s="11"/>
    </row>
    <row r="5" spans="1:10">
      <c r="A5" s="9" t="s">
        <v>24</v>
      </c>
      <c r="B5" s="10" t="s">
        <v>25</v>
      </c>
      <c r="C5" s="11"/>
      <c r="D5" s="11"/>
    </row>
    <row r="6" spans="1:10">
      <c r="A6" s="9" t="s">
        <v>26</v>
      </c>
      <c r="B6" s="15">
        <f>COUNTIF(I12:I216,"Pass")</f>
        <v>179</v>
      </c>
      <c r="C6" s="16" t="s">
        <v>27</v>
      </c>
      <c r="D6" s="15">
        <f>COUNTIF(I12:I216,"Pending")</f>
        <v>0</v>
      </c>
    </row>
    <row r="7" spans="1:10">
      <c r="A7" s="9" t="s">
        <v>28</v>
      </c>
      <c r="B7" s="15">
        <f>COUNTIF(I12:I216,"Fail")</f>
        <v>9</v>
      </c>
      <c r="C7" s="16" t="s">
        <v>29</v>
      </c>
      <c r="D7" s="15">
        <f>COUNTA(A12:A216)-17</f>
        <v>188</v>
      </c>
    </row>
    <row r="9" spans="1:10" ht="36" customHeight="1">
      <c r="A9" s="6" t="s">
        <v>30</v>
      </c>
      <c r="B9" s="6" t="s">
        <v>31</v>
      </c>
      <c r="C9" s="6" t="s">
        <v>32</v>
      </c>
      <c r="D9" s="24" t="s">
        <v>33</v>
      </c>
      <c r="E9" s="24"/>
      <c r="F9" s="24"/>
      <c r="G9" s="24"/>
      <c r="H9" s="6" t="s">
        <v>34</v>
      </c>
      <c r="I9" s="6" t="s">
        <v>35</v>
      </c>
      <c r="J9" s="6" t="s">
        <v>36</v>
      </c>
    </row>
    <row r="12" spans="1:10" ht="24" customHeight="1">
      <c r="A12" s="22" t="s">
        <v>37</v>
      </c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60" customHeight="1">
      <c r="A13" s="13" t="s">
        <v>38</v>
      </c>
      <c r="B13" s="12" t="s">
        <v>39</v>
      </c>
      <c r="C13" s="12" t="s">
        <v>40</v>
      </c>
      <c r="D13" s="21" t="s">
        <v>41</v>
      </c>
      <c r="E13" s="21"/>
      <c r="F13" s="21"/>
      <c r="G13" s="21"/>
      <c r="H13" s="14">
        <v>46310</v>
      </c>
      <c r="I13" s="13" t="s">
        <v>26</v>
      </c>
      <c r="J13" s="12" t="s">
        <v>42</v>
      </c>
    </row>
    <row r="14" spans="1:10" ht="60" customHeight="1">
      <c r="A14" s="13" t="s">
        <v>43</v>
      </c>
      <c r="B14" s="12" t="s">
        <v>44</v>
      </c>
      <c r="C14" s="12" t="s">
        <v>45</v>
      </c>
      <c r="D14" s="21" t="s">
        <v>46</v>
      </c>
      <c r="E14" s="21"/>
      <c r="F14" s="21"/>
      <c r="G14" s="21"/>
      <c r="H14" s="14">
        <v>46310</v>
      </c>
      <c r="I14" s="13" t="s">
        <v>26</v>
      </c>
      <c r="J14" s="12" t="s">
        <v>47</v>
      </c>
    </row>
    <row r="15" spans="1:10" ht="60" customHeight="1">
      <c r="A15" s="13" t="s">
        <v>48</v>
      </c>
      <c r="B15" s="12" t="s">
        <v>49</v>
      </c>
      <c r="C15" s="12" t="s">
        <v>50</v>
      </c>
      <c r="D15" s="21" t="s">
        <v>51</v>
      </c>
      <c r="E15" s="21"/>
      <c r="F15" s="21"/>
      <c r="G15" s="21"/>
      <c r="H15" s="14">
        <v>46310</v>
      </c>
      <c r="I15" s="13" t="s">
        <v>26</v>
      </c>
      <c r="J15" s="12" t="s">
        <v>52</v>
      </c>
    </row>
    <row r="16" spans="1:10" ht="60" customHeight="1">
      <c r="A16" s="13" t="s">
        <v>53</v>
      </c>
      <c r="B16" s="12" t="s">
        <v>54</v>
      </c>
      <c r="C16" s="12" t="s">
        <v>55</v>
      </c>
      <c r="D16" s="21" t="s">
        <v>56</v>
      </c>
      <c r="E16" s="21"/>
      <c r="F16" s="21"/>
      <c r="G16" s="21"/>
      <c r="H16" s="14">
        <v>46310</v>
      </c>
      <c r="I16" s="13" t="s">
        <v>26</v>
      </c>
      <c r="J16" s="12" t="s">
        <v>57</v>
      </c>
    </row>
    <row r="17" spans="1:10" ht="60" customHeight="1">
      <c r="A17" s="13" t="s">
        <v>58</v>
      </c>
      <c r="B17" s="12" t="s">
        <v>59</v>
      </c>
      <c r="C17" s="12" t="s">
        <v>60</v>
      </c>
      <c r="D17" s="21" t="s">
        <v>61</v>
      </c>
      <c r="E17" s="21"/>
      <c r="F17" s="21"/>
      <c r="G17" s="21"/>
      <c r="H17" s="14">
        <v>46310</v>
      </c>
      <c r="I17" s="13" t="s">
        <v>26</v>
      </c>
      <c r="J17" s="12" t="s">
        <v>62</v>
      </c>
    </row>
    <row r="18" spans="1:10" ht="60" customHeight="1">
      <c r="A18" s="13" t="s">
        <v>63</v>
      </c>
      <c r="B18" s="12" t="s">
        <v>64</v>
      </c>
      <c r="C18" s="12" t="s">
        <v>65</v>
      </c>
      <c r="D18" s="21" t="s">
        <v>66</v>
      </c>
      <c r="E18" s="21"/>
      <c r="F18" s="21"/>
      <c r="G18" s="21"/>
      <c r="H18" s="14">
        <v>46310</v>
      </c>
      <c r="I18" s="13" t="s">
        <v>26</v>
      </c>
      <c r="J18" s="12" t="s">
        <v>67</v>
      </c>
    </row>
    <row r="19" spans="1:10" ht="24" customHeight="1">
      <c r="A19" s="22" t="s">
        <v>68</v>
      </c>
      <c r="B19" s="22"/>
      <c r="C19" s="22"/>
      <c r="D19" s="22"/>
      <c r="E19" s="22"/>
      <c r="F19" s="22"/>
      <c r="G19" s="22"/>
      <c r="H19" s="22"/>
      <c r="I19" s="22"/>
      <c r="J19" s="22"/>
    </row>
    <row r="20" spans="1:10" ht="60" customHeight="1">
      <c r="A20" s="13" t="s">
        <v>69</v>
      </c>
      <c r="B20" s="12" t="s">
        <v>70</v>
      </c>
      <c r="C20" s="12" t="s">
        <v>71</v>
      </c>
      <c r="D20" s="21" t="s">
        <v>72</v>
      </c>
      <c r="E20" s="21"/>
      <c r="F20" s="21"/>
      <c r="G20" s="21"/>
      <c r="H20" s="14">
        <v>46310</v>
      </c>
      <c r="I20" s="13" t="s">
        <v>26</v>
      </c>
      <c r="J20" s="12" t="s">
        <v>73</v>
      </c>
    </row>
    <row r="21" spans="1:10" ht="60" customHeight="1">
      <c r="A21" s="13" t="s">
        <v>74</v>
      </c>
      <c r="B21" s="12" t="s">
        <v>75</v>
      </c>
      <c r="C21" s="12" t="s">
        <v>76</v>
      </c>
      <c r="D21" s="21" t="s">
        <v>77</v>
      </c>
      <c r="E21" s="21"/>
      <c r="F21" s="21"/>
      <c r="G21" s="21"/>
      <c r="H21" s="14">
        <v>46310</v>
      </c>
      <c r="I21" s="13" t="s">
        <v>26</v>
      </c>
      <c r="J21" s="12" t="s">
        <v>78</v>
      </c>
    </row>
    <row r="22" spans="1:10" ht="60" customHeight="1">
      <c r="A22" s="13" t="s">
        <v>79</v>
      </c>
      <c r="B22" s="12" t="s">
        <v>80</v>
      </c>
      <c r="C22" s="12" t="s">
        <v>81</v>
      </c>
      <c r="D22" s="21" t="s">
        <v>82</v>
      </c>
      <c r="E22" s="21"/>
      <c r="F22" s="21"/>
      <c r="G22" s="21"/>
      <c r="H22" s="14">
        <v>46310</v>
      </c>
      <c r="I22" s="13" t="s">
        <v>26</v>
      </c>
      <c r="J22" s="12" t="s">
        <v>83</v>
      </c>
    </row>
    <row r="23" spans="1:10" ht="60" customHeight="1">
      <c r="A23" s="13" t="s">
        <v>84</v>
      </c>
      <c r="B23" s="12" t="s">
        <v>85</v>
      </c>
      <c r="C23" s="12" t="s">
        <v>86</v>
      </c>
      <c r="D23" s="21" t="s">
        <v>87</v>
      </c>
      <c r="E23" s="21"/>
      <c r="F23" s="21"/>
      <c r="G23" s="21"/>
      <c r="H23" s="14">
        <v>46310</v>
      </c>
      <c r="I23" s="13" t="s">
        <v>26</v>
      </c>
      <c r="J23" s="12" t="s">
        <v>88</v>
      </c>
    </row>
    <row r="24" spans="1:10" ht="60" customHeight="1">
      <c r="A24" s="13" t="s">
        <v>89</v>
      </c>
      <c r="B24" s="12" t="s">
        <v>90</v>
      </c>
      <c r="C24" s="12" t="s">
        <v>91</v>
      </c>
      <c r="D24" s="21" t="s">
        <v>92</v>
      </c>
      <c r="E24" s="21"/>
      <c r="F24" s="21"/>
      <c r="G24" s="21"/>
      <c r="H24" s="14">
        <v>46310</v>
      </c>
      <c r="I24" s="13" t="s">
        <v>26</v>
      </c>
      <c r="J24" s="12" t="s">
        <v>93</v>
      </c>
    </row>
    <row r="25" spans="1:10" ht="60" customHeight="1">
      <c r="A25" s="13" t="s">
        <v>94</v>
      </c>
      <c r="B25" s="12" t="s">
        <v>95</v>
      </c>
      <c r="C25" s="12" t="s">
        <v>96</v>
      </c>
      <c r="D25" s="21" t="s">
        <v>97</v>
      </c>
      <c r="E25" s="21"/>
      <c r="F25" s="21"/>
      <c r="G25" s="21"/>
      <c r="H25" s="14">
        <v>46310</v>
      </c>
      <c r="I25" s="13" t="s">
        <v>26</v>
      </c>
      <c r="J25" s="12" t="s">
        <v>98</v>
      </c>
    </row>
    <row r="26" spans="1:10" ht="60" customHeight="1">
      <c r="A26" s="13" t="s">
        <v>99</v>
      </c>
      <c r="B26" s="12" t="s">
        <v>100</v>
      </c>
      <c r="C26" s="12" t="s">
        <v>101</v>
      </c>
      <c r="D26" s="21" t="s">
        <v>102</v>
      </c>
      <c r="E26" s="21"/>
      <c r="F26" s="21"/>
      <c r="G26" s="21"/>
      <c r="H26" s="14">
        <v>46310</v>
      </c>
      <c r="I26" s="13" t="s">
        <v>26</v>
      </c>
      <c r="J26" s="12" t="s">
        <v>103</v>
      </c>
    </row>
    <row r="27" spans="1:10" ht="60" customHeight="1">
      <c r="A27" s="13" t="s">
        <v>104</v>
      </c>
      <c r="B27" s="12" t="s">
        <v>105</v>
      </c>
      <c r="C27" s="12" t="s">
        <v>106</v>
      </c>
      <c r="D27" s="21" t="s">
        <v>107</v>
      </c>
      <c r="E27" s="21"/>
      <c r="F27" s="21"/>
      <c r="G27" s="21"/>
      <c r="H27" s="14">
        <v>46310</v>
      </c>
      <c r="I27" s="13" t="s">
        <v>26</v>
      </c>
      <c r="J27" s="12" t="s">
        <v>108</v>
      </c>
    </row>
    <row r="28" spans="1:10" ht="60" customHeight="1">
      <c r="A28" s="13" t="s">
        <v>109</v>
      </c>
      <c r="B28" s="12" t="s">
        <v>110</v>
      </c>
      <c r="C28" s="12" t="s">
        <v>111</v>
      </c>
      <c r="D28" s="21" t="s">
        <v>112</v>
      </c>
      <c r="E28" s="21"/>
      <c r="F28" s="21"/>
      <c r="G28" s="21"/>
      <c r="H28" s="14">
        <v>46310</v>
      </c>
      <c r="I28" s="13" t="s">
        <v>26</v>
      </c>
      <c r="J28" s="12" t="s">
        <v>113</v>
      </c>
    </row>
    <row r="29" spans="1:10" ht="60" customHeight="1">
      <c r="A29" s="13" t="s">
        <v>114</v>
      </c>
      <c r="B29" s="12" t="s">
        <v>115</v>
      </c>
      <c r="C29" s="12" t="s">
        <v>116</v>
      </c>
      <c r="D29" s="21" t="s">
        <v>117</v>
      </c>
      <c r="E29" s="21"/>
      <c r="F29" s="21"/>
      <c r="G29" s="21"/>
      <c r="H29" s="14">
        <v>46310</v>
      </c>
      <c r="I29" s="13" t="s">
        <v>26</v>
      </c>
      <c r="J29" s="12" t="s">
        <v>118</v>
      </c>
    </row>
    <row r="30" spans="1:10" ht="60" customHeight="1">
      <c r="A30" s="13" t="s">
        <v>119</v>
      </c>
      <c r="B30" s="12" t="s">
        <v>120</v>
      </c>
      <c r="C30" s="12" t="s">
        <v>121</v>
      </c>
      <c r="D30" s="21" t="s">
        <v>122</v>
      </c>
      <c r="E30" s="21"/>
      <c r="F30" s="21"/>
      <c r="G30" s="21"/>
      <c r="H30" s="14">
        <v>46310</v>
      </c>
      <c r="I30" s="13" t="s">
        <v>26</v>
      </c>
      <c r="J30" s="12" t="s">
        <v>123</v>
      </c>
    </row>
    <row r="31" spans="1:10" ht="60" customHeight="1">
      <c r="A31" s="13" t="s">
        <v>124</v>
      </c>
      <c r="B31" s="12" t="s">
        <v>125</v>
      </c>
      <c r="C31" s="12" t="s">
        <v>126</v>
      </c>
      <c r="D31" s="21" t="s">
        <v>127</v>
      </c>
      <c r="E31" s="21"/>
      <c r="F31" s="21"/>
      <c r="G31" s="21"/>
      <c r="H31" s="14">
        <v>46310</v>
      </c>
      <c r="I31" s="13" t="s">
        <v>26</v>
      </c>
      <c r="J31" s="12" t="s">
        <v>128</v>
      </c>
    </row>
    <row r="32" spans="1:10" ht="60" customHeight="1">
      <c r="A32" s="13" t="s">
        <v>129</v>
      </c>
      <c r="B32" s="12" t="s">
        <v>130</v>
      </c>
      <c r="C32" s="12" t="s">
        <v>131</v>
      </c>
      <c r="D32" s="21" t="s">
        <v>132</v>
      </c>
      <c r="E32" s="21"/>
      <c r="F32" s="21"/>
      <c r="G32" s="21"/>
      <c r="H32" s="14">
        <v>46310</v>
      </c>
      <c r="I32" s="13" t="s">
        <v>26</v>
      </c>
      <c r="J32" s="12" t="s">
        <v>133</v>
      </c>
    </row>
    <row r="33" spans="1:10" ht="60" customHeight="1">
      <c r="A33" s="13" t="s">
        <v>134</v>
      </c>
      <c r="B33" s="12" t="s">
        <v>135</v>
      </c>
      <c r="C33" s="12" t="s">
        <v>136</v>
      </c>
      <c r="D33" s="21" t="s">
        <v>137</v>
      </c>
      <c r="E33" s="21"/>
      <c r="F33" s="21"/>
      <c r="G33" s="21"/>
      <c r="H33" s="14">
        <v>46310</v>
      </c>
      <c r="I33" s="13" t="s">
        <v>26</v>
      </c>
      <c r="J33" s="12" t="s">
        <v>138</v>
      </c>
    </row>
    <row r="34" spans="1:10" ht="60" customHeight="1">
      <c r="A34" s="13" t="s">
        <v>139</v>
      </c>
      <c r="B34" s="12" t="s">
        <v>140</v>
      </c>
      <c r="C34" s="12" t="s">
        <v>141</v>
      </c>
      <c r="D34" s="21" t="s">
        <v>142</v>
      </c>
      <c r="E34" s="21"/>
      <c r="F34" s="21"/>
      <c r="G34" s="21"/>
      <c r="H34" s="14">
        <v>46310</v>
      </c>
      <c r="I34" s="13" t="s">
        <v>26</v>
      </c>
      <c r="J34" s="12" t="s">
        <v>143</v>
      </c>
    </row>
    <row r="35" spans="1:10" ht="24" customHeight="1">
      <c r="A35" s="22" t="s">
        <v>144</v>
      </c>
      <c r="B35" s="22"/>
      <c r="C35" s="22"/>
      <c r="D35" s="22"/>
      <c r="E35" s="22"/>
      <c r="F35" s="22"/>
      <c r="G35" s="22"/>
      <c r="H35" s="22"/>
      <c r="I35" s="22"/>
      <c r="J35" s="22"/>
    </row>
    <row r="36" spans="1:10" ht="60" customHeight="1">
      <c r="A36" s="13" t="s">
        <v>145</v>
      </c>
      <c r="B36" s="12" t="s">
        <v>146</v>
      </c>
      <c r="C36" s="12" t="s">
        <v>147</v>
      </c>
      <c r="D36" s="21" t="s">
        <v>148</v>
      </c>
      <c r="E36" s="21"/>
      <c r="F36" s="21"/>
      <c r="G36" s="21"/>
      <c r="H36" s="14">
        <v>46310</v>
      </c>
      <c r="I36" s="13" t="s">
        <v>26</v>
      </c>
      <c r="J36" s="12" t="s">
        <v>149</v>
      </c>
    </row>
    <row r="37" spans="1:10" ht="60" customHeight="1">
      <c r="A37" s="13" t="s">
        <v>150</v>
      </c>
      <c r="B37" s="12" t="s">
        <v>151</v>
      </c>
      <c r="C37" s="12" t="s">
        <v>152</v>
      </c>
      <c r="D37" s="21" t="s">
        <v>153</v>
      </c>
      <c r="E37" s="21"/>
      <c r="F37" s="21"/>
      <c r="G37" s="21"/>
      <c r="H37" s="14">
        <v>46310</v>
      </c>
      <c r="I37" s="13" t="s">
        <v>26</v>
      </c>
      <c r="J37" s="12" t="s">
        <v>154</v>
      </c>
    </row>
    <row r="38" spans="1:10" ht="60" customHeight="1">
      <c r="A38" s="13" t="s">
        <v>155</v>
      </c>
      <c r="B38" s="12" t="s">
        <v>156</v>
      </c>
      <c r="C38" s="12" t="s">
        <v>157</v>
      </c>
      <c r="D38" s="21" t="s">
        <v>158</v>
      </c>
      <c r="E38" s="21"/>
      <c r="F38" s="21"/>
      <c r="G38" s="21"/>
      <c r="H38" s="14">
        <v>46310</v>
      </c>
      <c r="I38" s="13" t="s">
        <v>26</v>
      </c>
      <c r="J38" s="12" t="s">
        <v>159</v>
      </c>
    </row>
    <row r="39" spans="1:10" ht="60" customHeight="1">
      <c r="A39" s="13" t="s">
        <v>160</v>
      </c>
      <c r="B39" s="12" t="s">
        <v>161</v>
      </c>
      <c r="C39" s="12" t="s">
        <v>162</v>
      </c>
      <c r="D39" s="21" t="s">
        <v>163</v>
      </c>
      <c r="E39" s="21"/>
      <c r="F39" s="21"/>
      <c r="G39" s="21"/>
      <c r="H39" s="14">
        <v>46310</v>
      </c>
      <c r="I39" s="13" t="s">
        <v>26</v>
      </c>
      <c r="J39" s="12" t="s">
        <v>164</v>
      </c>
    </row>
    <row r="40" spans="1:10" ht="60" customHeight="1">
      <c r="A40" s="13" t="s">
        <v>165</v>
      </c>
      <c r="B40" s="12" t="s">
        <v>166</v>
      </c>
      <c r="C40" s="12" t="s">
        <v>167</v>
      </c>
      <c r="D40" s="21" t="s">
        <v>168</v>
      </c>
      <c r="E40" s="21"/>
      <c r="F40" s="21"/>
      <c r="G40" s="21"/>
      <c r="H40" s="14">
        <v>46310</v>
      </c>
      <c r="I40" s="13" t="s">
        <v>26</v>
      </c>
      <c r="J40" s="12" t="s">
        <v>169</v>
      </c>
    </row>
    <row r="41" spans="1:10" ht="60" customHeight="1">
      <c r="A41" s="13" t="s">
        <v>170</v>
      </c>
      <c r="B41" s="12" t="s">
        <v>171</v>
      </c>
      <c r="C41" s="12" t="s">
        <v>172</v>
      </c>
      <c r="D41" s="21" t="s">
        <v>173</v>
      </c>
      <c r="E41" s="21"/>
      <c r="F41" s="21"/>
      <c r="G41" s="21"/>
      <c r="H41" s="14">
        <v>46310</v>
      </c>
      <c r="I41" s="13" t="s">
        <v>26</v>
      </c>
      <c r="J41" s="12" t="s">
        <v>174</v>
      </c>
    </row>
    <row r="42" spans="1:10" ht="60" customHeight="1">
      <c r="A42" s="13" t="s">
        <v>175</v>
      </c>
      <c r="B42" s="12" t="s">
        <v>176</v>
      </c>
      <c r="C42" s="12" t="s">
        <v>177</v>
      </c>
      <c r="D42" s="21" t="s">
        <v>178</v>
      </c>
      <c r="E42" s="21"/>
      <c r="F42" s="21"/>
      <c r="G42" s="21"/>
      <c r="H42" s="14">
        <v>46310</v>
      </c>
      <c r="I42" s="13" t="s">
        <v>26</v>
      </c>
      <c r="J42" s="12" t="s">
        <v>179</v>
      </c>
    </row>
    <row r="43" spans="1:10" ht="60" customHeight="1">
      <c r="A43" s="13" t="s">
        <v>180</v>
      </c>
      <c r="B43" s="12" t="s">
        <v>181</v>
      </c>
      <c r="C43" s="12" t="s">
        <v>182</v>
      </c>
      <c r="D43" s="21" t="s">
        <v>183</v>
      </c>
      <c r="E43" s="21"/>
      <c r="F43" s="21"/>
      <c r="G43" s="21"/>
      <c r="H43" s="14">
        <v>46310</v>
      </c>
      <c r="I43" s="13" t="s">
        <v>26</v>
      </c>
      <c r="J43" s="12" t="s">
        <v>184</v>
      </c>
    </row>
    <row r="44" spans="1:10" ht="24" customHeight="1">
      <c r="A44" s="22" t="s">
        <v>185</v>
      </c>
      <c r="B44" s="22"/>
      <c r="C44" s="22"/>
      <c r="D44" s="22"/>
      <c r="E44" s="22"/>
      <c r="F44" s="22"/>
      <c r="G44" s="22"/>
      <c r="H44" s="22"/>
      <c r="I44" s="22"/>
      <c r="J44" s="22"/>
    </row>
    <row r="45" spans="1:10" ht="60" customHeight="1">
      <c r="A45" s="13" t="s">
        <v>186</v>
      </c>
      <c r="B45" s="12" t="s">
        <v>187</v>
      </c>
      <c r="C45" s="12" t="s">
        <v>188</v>
      </c>
      <c r="D45" s="21" t="s">
        <v>189</v>
      </c>
      <c r="E45" s="21"/>
      <c r="F45" s="21"/>
      <c r="G45" s="21"/>
      <c r="H45" s="14">
        <v>46310</v>
      </c>
      <c r="I45" s="13" t="s">
        <v>26</v>
      </c>
      <c r="J45" s="12" t="s">
        <v>190</v>
      </c>
    </row>
    <row r="46" spans="1:10" ht="60" customHeight="1">
      <c r="A46" s="13" t="s">
        <v>191</v>
      </c>
      <c r="B46" s="12" t="s">
        <v>192</v>
      </c>
      <c r="C46" s="12" t="s">
        <v>193</v>
      </c>
      <c r="D46" s="21" t="s">
        <v>194</v>
      </c>
      <c r="E46" s="21"/>
      <c r="F46" s="21"/>
      <c r="G46" s="21"/>
      <c r="H46" s="14">
        <v>46310</v>
      </c>
      <c r="I46" s="13" t="s">
        <v>26</v>
      </c>
      <c r="J46" s="12" t="s">
        <v>195</v>
      </c>
    </row>
    <row r="47" spans="1:10" ht="60" customHeight="1">
      <c r="A47" s="13" t="s">
        <v>196</v>
      </c>
      <c r="B47" s="12" t="s">
        <v>197</v>
      </c>
      <c r="C47" s="12" t="s">
        <v>198</v>
      </c>
      <c r="D47" s="21" t="s">
        <v>199</v>
      </c>
      <c r="E47" s="21"/>
      <c r="F47" s="21"/>
      <c r="G47" s="21"/>
      <c r="H47" s="14">
        <v>46310</v>
      </c>
      <c r="I47" s="13" t="s">
        <v>26</v>
      </c>
      <c r="J47" s="12" t="s">
        <v>200</v>
      </c>
    </row>
    <row r="48" spans="1:10" ht="60" customHeight="1">
      <c r="A48" s="13" t="s">
        <v>201</v>
      </c>
      <c r="B48" s="12" t="s">
        <v>202</v>
      </c>
      <c r="C48" s="12" t="s">
        <v>203</v>
      </c>
      <c r="D48" s="21" t="s">
        <v>204</v>
      </c>
      <c r="E48" s="21"/>
      <c r="F48" s="21"/>
      <c r="G48" s="21"/>
      <c r="H48" s="14">
        <v>46310</v>
      </c>
      <c r="I48" s="13" t="s">
        <v>28</v>
      </c>
      <c r="J48" s="12" t="s">
        <v>205</v>
      </c>
    </row>
    <row r="49" spans="1:10" ht="60" customHeight="1">
      <c r="A49" s="13" t="s">
        <v>206</v>
      </c>
      <c r="B49" s="12" t="s">
        <v>207</v>
      </c>
      <c r="C49" s="12" t="s">
        <v>208</v>
      </c>
      <c r="D49" s="21" t="s">
        <v>209</v>
      </c>
      <c r="E49" s="21"/>
      <c r="F49" s="21"/>
      <c r="G49" s="21"/>
      <c r="H49" s="14">
        <v>46310</v>
      </c>
      <c r="I49" s="13" t="s">
        <v>26</v>
      </c>
      <c r="J49" s="12" t="s">
        <v>210</v>
      </c>
    </row>
    <row r="50" spans="1:10" ht="60" customHeight="1">
      <c r="A50" s="13" t="s">
        <v>211</v>
      </c>
      <c r="B50" s="12" t="s">
        <v>212</v>
      </c>
      <c r="C50" s="12" t="s">
        <v>213</v>
      </c>
      <c r="D50" s="21" t="s">
        <v>214</v>
      </c>
      <c r="E50" s="21"/>
      <c r="F50" s="21"/>
      <c r="G50" s="21"/>
      <c r="H50" s="14">
        <v>46310</v>
      </c>
      <c r="I50" s="13" t="s">
        <v>26</v>
      </c>
      <c r="J50" s="12" t="s">
        <v>215</v>
      </c>
    </row>
    <row r="51" spans="1:10" ht="60" customHeight="1">
      <c r="A51" s="13" t="s">
        <v>216</v>
      </c>
      <c r="B51" s="12" t="s">
        <v>217</v>
      </c>
      <c r="C51" s="12" t="s">
        <v>218</v>
      </c>
      <c r="D51" s="21" t="s">
        <v>219</v>
      </c>
      <c r="E51" s="21"/>
      <c r="F51" s="21"/>
      <c r="G51" s="21"/>
      <c r="H51" s="14">
        <v>46310</v>
      </c>
      <c r="I51" s="13" t="s">
        <v>26</v>
      </c>
      <c r="J51" s="12" t="s">
        <v>220</v>
      </c>
    </row>
    <row r="52" spans="1:10" ht="60" customHeight="1">
      <c r="A52" s="13" t="s">
        <v>221</v>
      </c>
      <c r="B52" s="12" t="s">
        <v>222</v>
      </c>
      <c r="C52" s="12" t="s">
        <v>223</v>
      </c>
      <c r="D52" s="21" t="s">
        <v>224</v>
      </c>
      <c r="E52" s="21"/>
      <c r="F52" s="21"/>
      <c r="G52" s="21"/>
      <c r="H52" s="14">
        <v>46310</v>
      </c>
      <c r="I52" s="13" t="s">
        <v>26</v>
      </c>
      <c r="J52" s="12" t="s">
        <v>225</v>
      </c>
    </row>
    <row r="53" spans="1:10" ht="60" customHeight="1">
      <c r="A53" s="13" t="s">
        <v>226</v>
      </c>
      <c r="B53" s="12" t="s">
        <v>227</v>
      </c>
      <c r="C53" s="12" t="s">
        <v>228</v>
      </c>
      <c r="D53" s="21" t="s">
        <v>229</v>
      </c>
      <c r="E53" s="21"/>
      <c r="F53" s="21"/>
      <c r="G53" s="21"/>
      <c r="H53" s="14">
        <v>46310</v>
      </c>
      <c r="I53" s="13" t="s">
        <v>26</v>
      </c>
      <c r="J53" s="12" t="s">
        <v>230</v>
      </c>
    </row>
    <row r="54" spans="1:10" ht="60" customHeight="1">
      <c r="A54" s="13" t="s">
        <v>231</v>
      </c>
      <c r="B54" s="12" t="s">
        <v>232</v>
      </c>
      <c r="C54" s="12" t="s">
        <v>233</v>
      </c>
      <c r="D54" s="21" t="s">
        <v>234</v>
      </c>
      <c r="E54" s="21"/>
      <c r="F54" s="21"/>
      <c r="G54" s="21"/>
      <c r="H54" s="14">
        <v>46310</v>
      </c>
      <c r="I54" s="13" t="s">
        <v>26</v>
      </c>
      <c r="J54" s="12" t="s">
        <v>235</v>
      </c>
    </row>
    <row r="55" spans="1:10" ht="60" customHeight="1">
      <c r="A55" s="13" t="s">
        <v>236</v>
      </c>
      <c r="B55" s="12" t="s">
        <v>237</v>
      </c>
      <c r="C55" s="12" t="s">
        <v>238</v>
      </c>
      <c r="D55" s="21" t="s">
        <v>239</v>
      </c>
      <c r="E55" s="21"/>
      <c r="F55" s="21"/>
      <c r="G55" s="21"/>
      <c r="H55" s="14">
        <v>46310</v>
      </c>
      <c r="I55" s="13" t="s">
        <v>26</v>
      </c>
      <c r="J55" s="12" t="s">
        <v>240</v>
      </c>
    </row>
    <row r="56" spans="1:10" ht="60" customHeight="1">
      <c r="A56" s="13" t="s">
        <v>241</v>
      </c>
      <c r="B56" s="12" t="s">
        <v>242</v>
      </c>
      <c r="C56" s="12" t="s">
        <v>243</v>
      </c>
      <c r="D56" s="21" t="s">
        <v>244</v>
      </c>
      <c r="E56" s="21"/>
      <c r="F56" s="21"/>
      <c r="G56" s="21"/>
      <c r="H56" s="14">
        <v>46310</v>
      </c>
      <c r="I56" s="13" t="s">
        <v>26</v>
      </c>
      <c r="J56" s="12" t="s">
        <v>245</v>
      </c>
    </row>
    <row r="57" spans="1:10" ht="24" customHeight="1">
      <c r="A57" s="22" t="s">
        <v>246</v>
      </c>
      <c r="B57" s="22"/>
      <c r="C57" s="22"/>
      <c r="D57" s="22"/>
      <c r="E57" s="22"/>
      <c r="F57" s="22"/>
      <c r="G57" s="22"/>
      <c r="H57" s="22"/>
      <c r="I57" s="22"/>
      <c r="J57" s="22"/>
    </row>
    <row r="58" spans="1:10" ht="60" customHeight="1">
      <c r="A58" s="13" t="s">
        <v>247</v>
      </c>
      <c r="B58" s="12" t="s">
        <v>248</v>
      </c>
      <c r="C58" s="12" t="s">
        <v>249</v>
      </c>
      <c r="D58" s="21" t="s">
        <v>250</v>
      </c>
      <c r="E58" s="21"/>
      <c r="F58" s="21"/>
      <c r="G58" s="21"/>
      <c r="H58" s="14">
        <v>46310</v>
      </c>
      <c r="I58" s="13" t="s">
        <v>26</v>
      </c>
      <c r="J58" s="12" t="s">
        <v>251</v>
      </c>
    </row>
    <row r="59" spans="1:10" ht="60" customHeight="1">
      <c r="A59" s="13" t="s">
        <v>252</v>
      </c>
      <c r="B59" s="12" t="s">
        <v>253</v>
      </c>
      <c r="C59" s="12" t="s">
        <v>254</v>
      </c>
      <c r="D59" s="21" t="s">
        <v>255</v>
      </c>
      <c r="E59" s="21"/>
      <c r="F59" s="21"/>
      <c r="G59" s="21"/>
      <c r="H59" s="14">
        <v>46310</v>
      </c>
      <c r="I59" s="13" t="s">
        <v>26</v>
      </c>
      <c r="J59" s="12" t="s">
        <v>256</v>
      </c>
    </row>
    <row r="60" spans="1:10" ht="60" customHeight="1">
      <c r="A60" s="13" t="s">
        <v>257</v>
      </c>
      <c r="B60" s="12" t="s">
        <v>258</v>
      </c>
      <c r="C60" s="12" t="s">
        <v>259</v>
      </c>
      <c r="D60" s="21" t="s">
        <v>260</v>
      </c>
      <c r="E60" s="21"/>
      <c r="F60" s="21"/>
      <c r="G60" s="21"/>
      <c r="H60" s="14">
        <v>46310</v>
      </c>
      <c r="I60" s="13" t="s">
        <v>26</v>
      </c>
      <c r="J60" s="12" t="s">
        <v>261</v>
      </c>
    </row>
    <row r="61" spans="1:10" ht="60" customHeight="1">
      <c r="A61" s="13" t="s">
        <v>262</v>
      </c>
      <c r="B61" s="12" t="s">
        <v>263</v>
      </c>
      <c r="C61" s="12" t="s">
        <v>264</v>
      </c>
      <c r="D61" s="21" t="s">
        <v>265</v>
      </c>
      <c r="E61" s="21"/>
      <c r="F61" s="21"/>
      <c r="G61" s="21"/>
      <c r="H61" s="14">
        <v>46310</v>
      </c>
      <c r="I61" s="13" t="s">
        <v>26</v>
      </c>
      <c r="J61" s="12" t="s">
        <v>266</v>
      </c>
    </row>
    <row r="62" spans="1:10" ht="60" customHeight="1">
      <c r="A62" s="13" t="s">
        <v>267</v>
      </c>
      <c r="B62" s="12" t="s">
        <v>268</v>
      </c>
      <c r="C62" s="12" t="s">
        <v>269</v>
      </c>
      <c r="D62" s="21" t="s">
        <v>270</v>
      </c>
      <c r="E62" s="21"/>
      <c r="F62" s="21"/>
      <c r="G62" s="21"/>
      <c r="H62" s="14">
        <v>46310</v>
      </c>
      <c r="I62" s="13" t="s">
        <v>28</v>
      </c>
      <c r="J62" s="12" t="s">
        <v>271</v>
      </c>
    </row>
    <row r="63" spans="1:10" ht="24" customHeight="1">
      <c r="A63" s="22" t="s">
        <v>272</v>
      </c>
      <c r="B63" s="22"/>
      <c r="C63" s="22"/>
      <c r="D63" s="22"/>
      <c r="E63" s="22"/>
      <c r="F63" s="22"/>
      <c r="G63" s="22"/>
      <c r="H63" s="22"/>
      <c r="I63" s="22"/>
      <c r="J63" s="22"/>
    </row>
    <row r="64" spans="1:10" ht="60" customHeight="1">
      <c r="A64" s="13" t="s">
        <v>273</v>
      </c>
      <c r="B64" s="12" t="s">
        <v>274</v>
      </c>
      <c r="C64" s="12" t="s">
        <v>275</v>
      </c>
      <c r="D64" s="21" t="s">
        <v>276</v>
      </c>
      <c r="E64" s="21"/>
      <c r="F64" s="21"/>
      <c r="G64" s="21"/>
      <c r="H64" s="14">
        <v>46310</v>
      </c>
      <c r="I64" s="13" t="s">
        <v>26</v>
      </c>
      <c r="J64" s="12" t="s">
        <v>277</v>
      </c>
    </row>
    <row r="65" spans="1:10" ht="60" customHeight="1">
      <c r="A65" s="13" t="s">
        <v>278</v>
      </c>
      <c r="B65" s="12" t="s">
        <v>279</v>
      </c>
      <c r="C65" s="12" t="s">
        <v>280</v>
      </c>
      <c r="D65" s="21" t="s">
        <v>281</v>
      </c>
      <c r="E65" s="21"/>
      <c r="F65" s="21"/>
      <c r="G65" s="21"/>
      <c r="H65" s="14">
        <v>46310</v>
      </c>
      <c r="I65" s="13" t="s">
        <v>26</v>
      </c>
      <c r="J65" s="12" t="s">
        <v>282</v>
      </c>
    </row>
    <row r="66" spans="1:10" ht="60" customHeight="1">
      <c r="A66" s="13" t="s">
        <v>283</v>
      </c>
      <c r="B66" s="12" t="s">
        <v>284</v>
      </c>
      <c r="C66" s="12" t="s">
        <v>285</v>
      </c>
      <c r="D66" s="21" t="s">
        <v>286</v>
      </c>
      <c r="E66" s="21"/>
      <c r="F66" s="21"/>
      <c r="G66" s="21"/>
      <c r="H66" s="14">
        <v>46310</v>
      </c>
      <c r="I66" s="13" t="s">
        <v>26</v>
      </c>
      <c r="J66" s="12" t="s">
        <v>287</v>
      </c>
    </row>
    <row r="67" spans="1:10" ht="60" customHeight="1">
      <c r="A67" s="13" t="s">
        <v>288</v>
      </c>
      <c r="B67" s="12" t="s">
        <v>289</v>
      </c>
      <c r="C67" s="12" t="s">
        <v>290</v>
      </c>
      <c r="D67" s="21" t="s">
        <v>291</v>
      </c>
      <c r="E67" s="21"/>
      <c r="F67" s="21"/>
      <c r="G67" s="21"/>
      <c r="H67" s="14">
        <v>46310</v>
      </c>
      <c r="I67" s="13" t="s">
        <v>26</v>
      </c>
      <c r="J67" s="12" t="s">
        <v>292</v>
      </c>
    </row>
    <row r="68" spans="1:10" ht="60" customHeight="1">
      <c r="A68" s="13" t="s">
        <v>293</v>
      </c>
      <c r="B68" s="12" t="s">
        <v>294</v>
      </c>
      <c r="C68" s="12" t="s">
        <v>295</v>
      </c>
      <c r="D68" s="21" t="s">
        <v>296</v>
      </c>
      <c r="E68" s="21"/>
      <c r="F68" s="21"/>
      <c r="G68" s="21"/>
      <c r="H68" s="14">
        <v>46310</v>
      </c>
      <c r="I68" s="13" t="s">
        <v>26</v>
      </c>
      <c r="J68" s="12" t="s">
        <v>297</v>
      </c>
    </row>
    <row r="69" spans="1:10" ht="60" customHeight="1">
      <c r="A69" s="13" t="s">
        <v>298</v>
      </c>
      <c r="B69" s="12" t="s">
        <v>299</v>
      </c>
      <c r="C69" s="12" t="s">
        <v>300</v>
      </c>
      <c r="D69" s="21" t="s">
        <v>301</v>
      </c>
      <c r="E69" s="21"/>
      <c r="F69" s="21"/>
      <c r="G69" s="21"/>
      <c r="H69" s="14">
        <v>46310</v>
      </c>
      <c r="I69" s="13" t="s">
        <v>26</v>
      </c>
      <c r="J69" s="12" t="s">
        <v>302</v>
      </c>
    </row>
    <row r="70" spans="1:10" ht="60" customHeight="1">
      <c r="A70" s="13" t="s">
        <v>303</v>
      </c>
      <c r="B70" s="12" t="s">
        <v>304</v>
      </c>
      <c r="C70" s="12" t="s">
        <v>305</v>
      </c>
      <c r="D70" s="21" t="s">
        <v>306</v>
      </c>
      <c r="E70" s="21"/>
      <c r="F70" s="21"/>
      <c r="G70" s="21"/>
      <c r="H70" s="14">
        <v>46310</v>
      </c>
      <c r="I70" s="13" t="s">
        <v>26</v>
      </c>
      <c r="J70" s="12" t="s">
        <v>307</v>
      </c>
    </row>
    <row r="71" spans="1:10" ht="60" customHeight="1">
      <c r="A71" s="13" t="s">
        <v>308</v>
      </c>
      <c r="B71" s="12" t="s">
        <v>309</v>
      </c>
      <c r="C71" s="12" t="s">
        <v>310</v>
      </c>
      <c r="D71" s="21" t="s">
        <v>311</v>
      </c>
      <c r="E71" s="21"/>
      <c r="F71" s="21"/>
      <c r="G71" s="21"/>
      <c r="H71" s="14">
        <v>46310</v>
      </c>
      <c r="I71" s="13" t="s">
        <v>26</v>
      </c>
      <c r="J71" s="12" t="s">
        <v>312</v>
      </c>
    </row>
    <row r="72" spans="1:10" ht="60" customHeight="1">
      <c r="A72" s="13" t="s">
        <v>313</v>
      </c>
      <c r="B72" s="12" t="s">
        <v>314</v>
      </c>
      <c r="C72" s="12" t="s">
        <v>315</v>
      </c>
      <c r="D72" s="21" t="s">
        <v>316</v>
      </c>
      <c r="E72" s="21"/>
      <c r="F72" s="21"/>
      <c r="G72" s="21"/>
      <c r="H72" s="14">
        <v>46310</v>
      </c>
      <c r="I72" s="13" t="s">
        <v>26</v>
      </c>
      <c r="J72" s="12" t="s">
        <v>317</v>
      </c>
    </row>
    <row r="73" spans="1:10" ht="60" customHeight="1">
      <c r="A73" s="13" t="s">
        <v>318</v>
      </c>
      <c r="B73" s="12" t="s">
        <v>319</v>
      </c>
      <c r="C73" s="12" t="s">
        <v>320</v>
      </c>
      <c r="D73" s="21" t="s">
        <v>321</v>
      </c>
      <c r="E73" s="21"/>
      <c r="F73" s="21"/>
      <c r="G73" s="21"/>
      <c r="H73" s="14">
        <v>46310</v>
      </c>
      <c r="I73" s="13" t="s">
        <v>26</v>
      </c>
      <c r="J73" s="12" t="s">
        <v>322</v>
      </c>
    </row>
    <row r="74" spans="1:10" ht="24" customHeight="1">
      <c r="A74" s="22" t="s">
        <v>323</v>
      </c>
      <c r="B74" s="22"/>
      <c r="C74" s="22"/>
      <c r="D74" s="22"/>
      <c r="E74" s="22"/>
      <c r="F74" s="22"/>
      <c r="G74" s="22"/>
      <c r="H74" s="22"/>
      <c r="I74" s="22"/>
      <c r="J74" s="22"/>
    </row>
    <row r="75" spans="1:10" ht="60" customHeight="1">
      <c r="A75" s="13" t="s">
        <v>324</v>
      </c>
      <c r="B75" s="12" t="s">
        <v>325</v>
      </c>
      <c r="C75" s="12" t="s">
        <v>326</v>
      </c>
      <c r="D75" s="21" t="s">
        <v>327</v>
      </c>
      <c r="E75" s="21"/>
      <c r="F75" s="21"/>
      <c r="G75" s="21"/>
      <c r="H75" s="14">
        <v>46310</v>
      </c>
      <c r="I75" s="13" t="s">
        <v>26</v>
      </c>
      <c r="J75" s="12" t="s">
        <v>328</v>
      </c>
    </row>
    <row r="76" spans="1:10" ht="60" customHeight="1">
      <c r="A76" s="13" t="s">
        <v>329</v>
      </c>
      <c r="B76" s="12" t="s">
        <v>330</v>
      </c>
      <c r="C76" s="12" t="s">
        <v>331</v>
      </c>
      <c r="D76" s="21" t="s">
        <v>332</v>
      </c>
      <c r="E76" s="21"/>
      <c r="F76" s="21"/>
      <c r="G76" s="21"/>
      <c r="H76" s="14">
        <v>46310</v>
      </c>
      <c r="I76" s="13" t="s">
        <v>26</v>
      </c>
      <c r="J76" s="12" t="s">
        <v>333</v>
      </c>
    </row>
    <row r="77" spans="1:10" ht="60" customHeight="1">
      <c r="A77" s="13" t="s">
        <v>334</v>
      </c>
      <c r="B77" s="12" t="s">
        <v>335</v>
      </c>
      <c r="C77" s="12" t="s">
        <v>336</v>
      </c>
      <c r="D77" s="21" t="s">
        <v>337</v>
      </c>
      <c r="E77" s="21"/>
      <c r="F77" s="21"/>
      <c r="G77" s="21"/>
      <c r="H77" s="14">
        <v>46310</v>
      </c>
      <c r="I77" s="13" t="s">
        <v>26</v>
      </c>
      <c r="J77" s="12" t="s">
        <v>338</v>
      </c>
    </row>
    <row r="78" spans="1:10" ht="60" customHeight="1">
      <c r="A78" s="13" t="s">
        <v>339</v>
      </c>
      <c r="B78" s="12" t="s">
        <v>340</v>
      </c>
      <c r="C78" s="12" t="s">
        <v>341</v>
      </c>
      <c r="D78" s="21" t="s">
        <v>342</v>
      </c>
      <c r="E78" s="21"/>
      <c r="F78" s="21"/>
      <c r="G78" s="21"/>
      <c r="H78" s="14">
        <v>46310</v>
      </c>
      <c r="I78" s="13" t="s">
        <v>26</v>
      </c>
      <c r="J78" s="12" t="s">
        <v>343</v>
      </c>
    </row>
    <row r="79" spans="1:10" ht="60" customHeight="1">
      <c r="A79" s="13" t="s">
        <v>344</v>
      </c>
      <c r="B79" s="12" t="s">
        <v>345</v>
      </c>
      <c r="C79" s="12" t="s">
        <v>346</v>
      </c>
      <c r="D79" s="21" t="s">
        <v>347</v>
      </c>
      <c r="E79" s="21"/>
      <c r="F79" s="21"/>
      <c r="G79" s="21"/>
      <c r="H79" s="14">
        <v>46310</v>
      </c>
      <c r="I79" s="13" t="s">
        <v>26</v>
      </c>
      <c r="J79" s="12" t="s">
        <v>348</v>
      </c>
    </row>
    <row r="80" spans="1:10" ht="60" customHeight="1">
      <c r="A80" s="13" t="s">
        <v>349</v>
      </c>
      <c r="B80" s="12" t="s">
        <v>350</v>
      </c>
      <c r="C80" s="12" t="s">
        <v>351</v>
      </c>
      <c r="D80" s="21" t="s">
        <v>352</v>
      </c>
      <c r="E80" s="21"/>
      <c r="F80" s="21"/>
      <c r="G80" s="21"/>
      <c r="H80" s="14">
        <v>46310</v>
      </c>
      <c r="I80" s="13" t="s">
        <v>26</v>
      </c>
      <c r="J80" s="12" t="s">
        <v>353</v>
      </c>
    </row>
    <row r="81" spans="1:10" ht="60" customHeight="1">
      <c r="A81" s="13" t="s">
        <v>354</v>
      </c>
      <c r="B81" s="12" t="s">
        <v>355</v>
      </c>
      <c r="C81" s="12" t="s">
        <v>356</v>
      </c>
      <c r="D81" s="21" t="s">
        <v>357</v>
      </c>
      <c r="E81" s="21"/>
      <c r="F81" s="21"/>
      <c r="G81" s="21"/>
      <c r="H81" s="14">
        <v>46310</v>
      </c>
      <c r="I81" s="13" t="s">
        <v>26</v>
      </c>
      <c r="J81" s="12" t="s">
        <v>358</v>
      </c>
    </row>
    <row r="82" spans="1:10" ht="60" customHeight="1">
      <c r="A82" s="13" t="s">
        <v>359</v>
      </c>
      <c r="B82" s="12" t="s">
        <v>360</v>
      </c>
      <c r="C82" s="12" t="s">
        <v>361</v>
      </c>
      <c r="D82" s="21" t="s">
        <v>362</v>
      </c>
      <c r="E82" s="21"/>
      <c r="F82" s="21"/>
      <c r="G82" s="21"/>
      <c r="H82" s="14">
        <v>46310</v>
      </c>
      <c r="I82" s="13" t="s">
        <v>26</v>
      </c>
      <c r="J82" s="12" t="s">
        <v>363</v>
      </c>
    </row>
    <row r="83" spans="1:10" ht="60" customHeight="1">
      <c r="A83" s="13" t="s">
        <v>364</v>
      </c>
      <c r="B83" s="12" t="s">
        <v>365</v>
      </c>
      <c r="C83" s="12" t="s">
        <v>366</v>
      </c>
      <c r="D83" s="21" t="s">
        <v>367</v>
      </c>
      <c r="E83" s="21"/>
      <c r="F83" s="21"/>
      <c r="G83" s="21"/>
      <c r="H83" s="14">
        <v>46310</v>
      </c>
      <c r="I83" s="13" t="s">
        <v>26</v>
      </c>
      <c r="J83" s="12" t="s">
        <v>368</v>
      </c>
    </row>
    <row r="84" spans="1:10" ht="60" customHeight="1">
      <c r="A84" s="13" t="s">
        <v>369</v>
      </c>
      <c r="B84" s="12" t="s">
        <v>370</v>
      </c>
      <c r="C84" s="12" t="s">
        <v>371</v>
      </c>
      <c r="D84" s="21" t="s">
        <v>372</v>
      </c>
      <c r="E84" s="21"/>
      <c r="F84" s="21"/>
      <c r="G84" s="21"/>
      <c r="H84" s="14">
        <v>46310</v>
      </c>
      <c r="I84" s="13" t="s">
        <v>26</v>
      </c>
      <c r="J84" s="12" t="s">
        <v>373</v>
      </c>
    </row>
    <row r="85" spans="1:10" ht="24" customHeight="1">
      <c r="A85" s="22" t="s">
        <v>374</v>
      </c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60" customHeight="1">
      <c r="A86" s="13" t="s">
        <v>375</v>
      </c>
      <c r="B86" s="12" t="s">
        <v>376</v>
      </c>
      <c r="C86" s="12" t="s">
        <v>377</v>
      </c>
      <c r="D86" s="21" t="s">
        <v>378</v>
      </c>
      <c r="E86" s="21"/>
      <c r="F86" s="21"/>
      <c r="G86" s="21"/>
      <c r="H86" s="14">
        <v>46310</v>
      </c>
      <c r="I86" s="13" t="s">
        <v>26</v>
      </c>
      <c r="J86" s="12" t="s">
        <v>379</v>
      </c>
    </row>
    <row r="87" spans="1:10" ht="60" customHeight="1">
      <c r="A87" s="13" t="s">
        <v>380</v>
      </c>
      <c r="B87" s="12" t="s">
        <v>381</v>
      </c>
      <c r="C87" s="12" t="s">
        <v>382</v>
      </c>
      <c r="D87" s="21" t="s">
        <v>383</v>
      </c>
      <c r="E87" s="21"/>
      <c r="F87" s="21"/>
      <c r="G87" s="21"/>
      <c r="H87" s="14">
        <v>46310</v>
      </c>
      <c r="I87" s="13" t="s">
        <v>26</v>
      </c>
      <c r="J87" s="12" t="s">
        <v>384</v>
      </c>
    </row>
    <row r="88" spans="1:10" ht="60" customHeight="1">
      <c r="A88" s="13" t="s">
        <v>385</v>
      </c>
      <c r="B88" s="12" t="s">
        <v>386</v>
      </c>
      <c r="C88" s="12" t="s">
        <v>387</v>
      </c>
      <c r="D88" s="21" t="s">
        <v>388</v>
      </c>
      <c r="E88" s="21"/>
      <c r="F88" s="21"/>
      <c r="G88" s="21"/>
      <c r="H88" s="14">
        <v>46310</v>
      </c>
      <c r="I88" s="13" t="s">
        <v>26</v>
      </c>
      <c r="J88" s="12" t="s">
        <v>389</v>
      </c>
    </row>
    <row r="89" spans="1:10" ht="60" customHeight="1">
      <c r="A89" s="13" t="s">
        <v>390</v>
      </c>
      <c r="B89" s="12" t="s">
        <v>391</v>
      </c>
      <c r="C89" s="12" t="s">
        <v>392</v>
      </c>
      <c r="D89" s="21" t="s">
        <v>393</v>
      </c>
      <c r="E89" s="21"/>
      <c r="F89" s="21"/>
      <c r="G89" s="21"/>
      <c r="H89" s="14">
        <v>46310</v>
      </c>
      <c r="I89" s="13" t="s">
        <v>26</v>
      </c>
      <c r="J89" s="12" t="s">
        <v>394</v>
      </c>
    </row>
    <row r="90" spans="1:10" ht="60" customHeight="1">
      <c r="A90" s="13" t="s">
        <v>395</v>
      </c>
      <c r="B90" s="12" t="s">
        <v>396</v>
      </c>
      <c r="C90" s="12" t="s">
        <v>397</v>
      </c>
      <c r="D90" s="21" t="s">
        <v>398</v>
      </c>
      <c r="E90" s="21"/>
      <c r="F90" s="21"/>
      <c r="G90" s="21"/>
      <c r="H90" s="14">
        <v>46310</v>
      </c>
      <c r="I90" s="13" t="s">
        <v>26</v>
      </c>
      <c r="J90" s="12" t="s">
        <v>399</v>
      </c>
    </row>
    <row r="91" spans="1:10" ht="60" customHeight="1">
      <c r="A91" s="13" t="s">
        <v>400</v>
      </c>
      <c r="B91" s="12" t="s">
        <v>401</v>
      </c>
      <c r="C91" s="12" t="s">
        <v>402</v>
      </c>
      <c r="D91" s="21" t="s">
        <v>403</v>
      </c>
      <c r="E91" s="21"/>
      <c r="F91" s="21"/>
      <c r="G91" s="21"/>
      <c r="H91" s="14">
        <v>46310</v>
      </c>
      <c r="I91" s="13" t="s">
        <v>26</v>
      </c>
      <c r="J91" s="12" t="s">
        <v>404</v>
      </c>
    </row>
    <row r="92" spans="1:10" ht="60" customHeight="1">
      <c r="A92" s="13" t="s">
        <v>405</v>
      </c>
      <c r="B92" s="12" t="s">
        <v>406</v>
      </c>
      <c r="C92" s="12" t="s">
        <v>407</v>
      </c>
      <c r="D92" s="21" t="s">
        <v>291</v>
      </c>
      <c r="E92" s="21"/>
      <c r="F92" s="21"/>
      <c r="G92" s="21"/>
      <c r="H92" s="14">
        <v>46310</v>
      </c>
      <c r="I92" s="13" t="s">
        <v>26</v>
      </c>
      <c r="J92" s="12" t="s">
        <v>408</v>
      </c>
    </row>
    <row r="93" spans="1:10" ht="60" customHeight="1">
      <c r="A93" s="13" t="s">
        <v>409</v>
      </c>
      <c r="B93" s="12" t="s">
        <v>410</v>
      </c>
      <c r="C93" s="12" t="s">
        <v>411</v>
      </c>
      <c r="D93" s="21" t="s">
        <v>412</v>
      </c>
      <c r="E93" s="21"/>
      <c r="F93" s="21"/>
      <c r="G93" s="21"/>
      <c r="H93" s="14">
        <v>46310</v>
      </c>
      <c r="I93" s="13" t="s">
        <v>26</v>
      </c>
      <c r="J93" s="12" t="s">
        <v>413</v>
      </c>
    </row>
    <row r="94" spans="1:10" ht="60" customHeight="1">
      <c r="A94" s="13" t="s">
        <v>414</v>
      </c>
      <c r="B94" s="12" t="s">
        <v>415</v>
      </c>
      <c r="C94" s="12" t="s">
        <v>416</v>
      </c>
      <c r="D94" s="21" t="s">
        <v>417</v>
      </c>
      <c r="E94" s="21"/>
      <c r="F94" s="21"/>
      <c r="G94" s="21"/>
      <c r="H94" s="14">
        <v>46310</v>
      </c>
      <c r="I94" s="13" t="s">
        <v>26</v>
      </c>
      <c r="J94" s="12" t="s">
        <v>418</v>
      </c>
    </row>
    <row r="95" spans="1:10" ht="60" customHeight="1">
      <c r="A95" s="13" t="s">
        <v>419</v>
      </c>
      <c r="B95" s="12" t="s">
        <v>420</v>
      </c>
      <c r="C95" s="12" t="s">
        <v>421</v>
      </c>
      <c r="D95" s="21" t="s">
        <v>422</v>
      </c>
      <c r="E95" s="21"/>
      <c r="F95" s="21"/>
      <c r="G95" s="21"/>
      <c r="H95" s="14">
        <v>46310</v>
      </c>
      <c r="I95" s="13" t="s">
        <v>26</v>
      </c>
      <c r="J95" s="12" t="s">
        <v>423</v>
      </c>
    </row>
    <row r="96" spans="1:10" ht="60" customHeight="1">
      <c r="A96" s="13" t="s">
        <v>424</v>
      </c>
      <c r="B96" s="12" t="s">
        <v>425</v>
      </c>
      <c r="C96" s="12" t="s">
        <v>426</v>
      </c>
      <c r="D96" s="21" t="s">
        <v>427</v>
      </c>
      <c r="E96" s="21"/>
      <c r="F96" s="21"/>
      <c r="G96" s="21"/>
      <c r="H96" s="14">
        <v>46310</v>
      </c>
      <c r="I96" s="13" t="s">
        <v>26</v>
      </c>
      <c r="J96" s="12" t="s">
        <v>428</v>
      </c>
    </row>
    <row r="97" spans="1:10" ht="60" customHeight="1">
      <c r="A97" s="13" t="s">
        <v>429</v>
      </c>
      <c r="B97" s="12" t="s">
        <v>430</v>
      </c>
      <c r="C97" s="12" t="s">
        <v>431</v>
      </c>
      <c r="D97" s="21" t="s">
        <v>432</v>
      </c>
      <c r="E97" s="21"/>
      <c r="F97" s="21"/>
      <c r="G97" s="21"/>
      <c r="H97" s="14">
        <v>46310</v>
      </c>
      <c r="I97" s="13" t="s">
        <v>26</v>
      </c>
      <c r="J97" s="12" t="s">
        <v>433</v>
      </c>
    </row>
    <row r="98" spans="1:10" ht="24" customHeight="1">
      <c r="A98" s="22" t="s">
        <v>434</v>
      </c>
      <c r="B98" s="22"/>
      <c r="C98" s="22"/>
      <c r="D98" s="22"/>
      <c r="E98" s="22"/>
      <c r="F98" s="22"/>
      <c r="G98" s="22"/>
      <c r="H98" s="22"/>
      <c r="I98" s="22"/>
      <c r="J98" s="22"/>
    </row>
    <row r="99" spans="1:10" ht="60" customHeight="1">
      <c r="A99" s="13" t="s">
        <v>435</v>
      </c>
      <c r="B99" s="12" t="s">
        <v>436</v>
      </c>
      <c r="C99" s="12" t="s">
        <v>437</v>
      </c>
      <c r="D99" s="21" t="s">
        <v>438</v>
      </c>
      <c r="E99" s="21"/>
      <c r="F99" s="21"/>
      <c r="G99" s="21"/>
      <c r="H99" s="14">
        <v>46310</v>
      </c>
      <c r="I99" s="13" t="s">
        <v>26</v>
      </c>
      <c r="J99" s="12" t="s">
        <v>439</v>
      </c>
    </row>
    <row r="100" spans="1:10" ht="60" customHeight="1">
      <c r="A100" s="13" t="s">
        <v>440</v>
      </c>
      <c r="B100" s="12" t="s">
        <v>441</v>
      </c>
      <c r="C100" s="12" t="s">
        <v>442</v>
      </c>
      <c r="D100" s="21" t="s">
        <v>443</v>
      </c>
      <c r="E100" s="21"/>
      <c r="F100" s="21"/>
      <c r="G100" s="21"/>
      <c r="H100" s="14">
        <v>46310</v>
      </c>
      <c r="I100" s="13" t="s">
        <v>26</v>
      </c>
      <c r="J100" s="12" t="s">
        <v>444</v>
      </c>
    </row>
    <row r="101" spans="1:10" ht="60" customHeight="1">
      <c r="A101" s="13" t="s">
        <v>445</v>
      </c>
      <c r="B101" s="12" t="s">
        <v>446</v>
      </c>
      <c r="C101" s="12" t="s">
        <v>447</v>
      </c>
      <c r="D101" s="21" t="s">
        <v>448</v>
      </c>
      <c r="E101" s="21"/>
      <c r="F101" s="21"/>
      <c r="G101" s="21"/>
      <c r="H101" s="14">
        <v>46310</v>
      </c>
      <c r="I101" s="13" t="s">
        <v>26</v>
      </c>
      <c r="J101" s="12" t="s">
        <v>449</v>
      </c>
    </row>
    <row r="102" spans="1:10" ht="60" customHeight="1">
      <c r="A102" s="13" t="s">
        <v>450</v>
      </c>
      <c r="B102" s="12" t="s">
        <v>451</v>
      </c>
      <c r="C102" s="12" t="s">
        <v>452</v>
      </c>
      <c r="D102" s="21" t="s">
        <v>453</v>
      </c>
      <c r="E102" s="21"/>
      <c r="F102" s="21"/>
      <c r="G102" s="21"/>
      <c r="H102" s="14">
        <v>46310</v>
      </c>
      <c r="I102" s="13" t="s">
        <v>26</v>
      </c>
      <c r="J102" s="12" t="s">
        <v>454</v>
      </c>
    </row>
    <row r="103" spans="1:10" ht="60" customHeight="1">
      <c r="A103" s="13" t="s">
        <v>455</v>
      </c>
      <c r="B103" s="12" t="s">
        <v>456</v>
      </c>
      <c r="C103" s="12" t="s">
        <v>457</v>
      </c>
      <c r="D103" s="21" t="s">
        <v>458</v>
      </c>
      <c r="E103" s="21"/>
      <c r="F103" s="21"/>
      <c r="G103" s="21"/>
      <c r="H103" s="14">
        <v>46310</v>
      </c>
      <c r="I103" s="13" t="s">
        <v>26</v>
      </c>
      <c r="J103" s="12" t="s">
        <v>459</v>
      </c>
    </row>
    <row r="104" spans="1:10" ht="60" customHeight="1">
      <c r="A104" s="13" t="s">
        <v>460</v>
      </c>
      <c r="B104" s="12" t="s">
        <v>461</v>
      </c>
      <c r="C104" s="12" t="s">
        <v>462</v>
      </c>
      <c r="D104" s="21" t="s">
        <v>163</v>
      </c>
      <c r="E104" s="21"/>
      <c r="F104" s="21"/>
      <c r="G104" s="21"/>
      <c r="H104" s="14">
        <v>46310</v>
      </c>
      <c r="I104" s="13" t="s">
        <v>26</v>
      </c>
      <c r="J104" s="12" t="s">
        <v>463</v>
      </c>
    </row>
    <row r="105" spans="1:10" ht="60" customHeight="1">
      <c r="A105" s="13" t="s">
        <v>464</v>
      </c>
      <c r="B105" s="12" t="s">
        <v>465</v>
      </c>
      <c r="C105" s="12" t="s">
        <v>466</v>
      </c>
      <c r="D105" s="21" t="s">
        <v>467</v>
      </c>
      <c r="E105" s="21"/>
      <c r="F105" s="21"/>
      <c r="G105" s="21"/>
      <c r="H105" s="14">
        <v>46310</v>
      </c>
      <c r="I105" s="13" t="s">
        <v>26</v>
      </c>
      <c r="J105" s="12" t="s">
        <v>468</v>
      </c>
    </row>
    <row r="106" spans="1:10" ht="60" customHeight="1">
      <c r="A106" s="13" t="s">
        <v>469</v>
      </c>
      <c r="B106" s="12" t="s">
        <v>470</v>
      </c>
      <c r="C106" s="12" t="s">
        <v>471</v>
      </c>
      <c r="D106" s="21" t="s">
        <v>472</v>
      </c>
      <c r="E106" s="21"/>
      <c r="F106" s="21"/>
      <c r="G106" s="21"/>
      <c r="H106" s="14">
        <v>46310</v>
      </c>
      <c r="I106" s="13" t="s">
        <v>26</v>
      </c>
      <c r="J106" s="12" t="s">
        <v>473</v>
      </c>
    </row>
    <row r="107" spans="1:10" ht="60" customHeight="1">
      <c r="A107" s="13" t="s">
        <v>474</v>
      </c>
      <c r="B107" s="12" t="s">
        <v>475</v>
      </c>
      <c r="C107" s="12" t="s">
        <v>476</v>
      </c>
      <c r="D107" s="21" t="s">
        <v>477</v>
      </c>
      <c r="E107" s="21"/>
      <c r="F107" s="21"/>
      <c r="G107" s="21"/>
      <c r="H107" s="14">
        <v>46310</v>
      </c>
      <c r="I107" s="13" t="s">
        <v>26</v>
      </c>
      <c r="J107" s="12" t="s">
        <v>478</v>
      </c>
    </row>
    <row r="108" spans="1:10" ht="60" customHeight="1">
      <c r="A108" s="13" t="s">
        <v>479</v>
      </c>
      <c r="B108" s="12" t="s">
        <v>480</v>
      </c>
      <c r="C108" s="12" t="s">
        <v>481</v>
      </c>
      <c r="D108" s="21" t="s">
        <v>482</v>
      </c>
      <c r="E108" s="21"/>
      <c r="F108" s="21"/>
      <c r="G108" s="21"/>
      <c r="H108" s="14">
        <v>46310</v>
      </c>
      <c r="I108" s="13" t="s">
        <v>26</v>
      </c>
      <c r="J108" s="12" t="s">
        <v>483</v>
      </c>
    </row>
    <row r="109" spans="1:10" ht="24" customHeight="1">
      <c r="A109" s="22" t="s">
        <v>484</v>
      </c>
      <c r="B109" s="22"/>
      <c r="C109" s="22"/>
      <c r="D109" s="22"/>
      <c r="E109" s="22"/>
      <c r="F109" s="22"/>
      <c r="G109" s="22"/>
      <c r="H109" s="22"/>
      <c r="I109" s="22"/>
      <c r="J109" s="22"/>
    </row>
    <row r="110" spans="1:10" ht="60" customHeight="1">
      <c r="A110" s="13" t="s">
        <v>485</v>
      </c>
      <c r="B110" s="12" t="s">
        <v>486</v>
      </c>
      <c r="C110" s="12" t="s">
        <v>487</v>
      </c>
      <c r="D110" s="21" t="s">
        <v>488</v>
      </c>
      <c r="E110" s="21"/>
      <c r="F110" s="21"/>
      <c r="G110" s="21"/>
      <c r="H110" s="14">
        <v>46310</v>
      </c>
      <c r="I110" s="13" t="s">
        <v>26</v>
      </c>
      <c r="J110" s="12" t="s">
        <v>489</v>
      </c>
    </row>
    <row r="111" spans="1:10" ht="60" customHeight="1">
      <c r="A111" s="13" t="s">
        <v>490</v>
      </c>
      <c r="B111" s="12" t="s">
        <v>491</v>
      </c>
      <c r="C111" s="12" t="s">
        <v>492</v>
      </c>
      <c r="D111" s="21" t="s">
        <v>493</v>
      </c>
      <c r="E111" s="21"/>
      <c r="F111" s="21"/>
      <c r="G111" s="21"/>
      <c r="H111" s="14">
        <v>46310</v>
      </c>
      <c r="I111" s="13" t="s">
        <v>26</v>
      </c>
      <c r="J111" s="12" t="s">
        <v>494</v>
      </c>
    </row>
    <row r="112" spans="1:10" ht="60" customHeight="1">
      <c r="A112" s="13" t="s">
        <v>495</v>
      </c>
      <c r="B112" s="12" t="s">
        <v>496</v>
      </c>
      <c r="C112" s="12" t="s">
        <v>497</v>
      </c>
      <c r="D112" s="21" t="s">
        <v>498</v>
      </c>
      <c r="E112" s="21"/>
      <c r="F112" s="21"/>
      <c r="G112" s="21"/>
      <c r="H112" s="14">
        <v>46310</v>
      </c>
      <c r="I112" s="13" t="s">
        <v>26</v>
      </c>
      <c r="J112" s="12" t="s">
        <v>499</v>
      </c>
    </row>
    <row r="113" spans="1:10" ht="60" customHeight="1">
      <c r="A113" s="13" t="s">
        <v>500</v>
      </c>
      <c r="B113" s="12" t="s">
        <v>501</v>
      </c>
      <c r="C113" s="12" t="s">
        <v>502</v>
      </c>
      <c r="D113" s="21" t="s">
        <v>503</v>
      </c>
      <c r="E113" s="21"/>
      <c r="F113" s="21"/>
      <c r="G113" s="21"/>
      <c r="H113" s="14">
        <v>46310</v>
      </c>
      <c r="I113" s="13" t="s">
        <v>26</v>
      </c>
      <c r="J113" s="12" t="s">
        <v>504</v>
      </c>
    </row>
    <row r="114" spans="1:10" ht="60" customHeight="1">
      <c r="A114" s="13" t="s">
        <v>505</v>
      </c>
      <c r="B114" s="12" t="s">
        <v>506</v>
      </c>
      <c r="C114" s="12" t="s">
        <v>507</v>
      </c>
      <c r="D114" s="21" t="s">
        <v>508</v>
      </c>
      <c r="E114" s="21"/>
      <c r="F114" s="21"/>
      <c r="G114" s="21"/>
      <c r="H114" s="14">
        <v>46310</v>
      </c>
      <c r="I114" s="13" t="s">
        <v>26</v>
      </c>
      <c r="J114" s="12" t="s">
        <v>509</v>
      </c>
    </row>
    <row r="115" spans="1:10" ht="60" customHeight="1">
      <c r="A115" s="13" t="s">
        <v>510</v>
      </c>
      <c r="B115" s="12" t="s">
        <v>511</v>
      </c>
      <c r="C115" s="12" t="s">
        <v>512</v>
      </c>
      <c r="D115" s="21" t="s">
        <v>513</v>
      </c>
      <c r="E115" s="21"/>
      <c r="F115" s="21"/>
      <c r="G115" s="21"/>
      <c r="H115" s="14">
        <v>46310</v>
      </c>
      <c r="I115" s="13" t="s">
        <v>26</v>
      </c>
      <c r="J115" s="12" t="s">
        <v>514</v>
      </c>
    </row>
    <row r="116" spans="1:10" ht="60" customHeight="1">
      <c r="A116" s="13" t="s">
        <v>515</v>
      </c>
      <c r="B116" s="12" t="s">
        <v>516</v>
      </c>
      <c r="C116" s="12" t="s">
        <v>517</v>
      </c>
      <c r="D116" s="21" t="s">
        <v>518</v>
      </c>
      <c r="E116" s="21"/>
      <c r="F116" s="21"/>
      <c r="G116" s="21"/>
      <c r="H116" s="14">
        <v>46310</v>
      </c>
      <c r="I116" s="13" t="s">
        <v>26</v>
      </c>
      <c r="J116" s="12" t="s">
        <v>519</v>
      </c>
    </row>
    <row r="117" spans="1:10" ht="60" customHeight="1">
      <c r="A117" s="13" t="s">
        <v>520</v>
      </c>
      <c r="B117" s="12" t="s">
        <v>521</v>
      </c>
      <c r="C117" s="12" t="s">
        <v>522</v>
      </c>
      <c r="D117" s="21" t="s">
        <v>523</v>
      </c>
      <c r="E117" s="21"/>
      <c r="F117" s="21"/>
      <c r="G117" s="21"/>
      <c r="H117" s="14">
        <v>46310</v>
      </c>
      <c r="I117" s="13" t="s">
        <v>26</v>
      </c>
      <c r="J117" s="12" t="s">
        <v>524</v>
      </c>
    </row>
    <row r="118" spans="1:10" ht="60" customHeight="1">
      <c r="A118" s="13" t="s">
        <v>525</v>
      </c>
      <c r="B118" s="12" t="s">
        <v>526</v>
      </c>
      <c r="C118" s="12" t="s">
        <v>527</v>
      </c>
      <c r="D118" s="21" t="s">
        <v>528</v>
      </c>
      <c r="E118" s="21"/>
      <c r="F118" s="21"/>
      <c r="G118" s="21"/>
      <c r="H118" s="14">
        <v>46310</v>
      </c>
      <c r="I118" s="13" t="s">
        <v>26</v>
      </c>
      <c r="J118" s="12" t="s">
        <v>529</v>
      </c>
    </row>
    <row r="119" spans="1:10" ht="60" customHeight="1">
      <c r="A119" s="13" t="s">
        <v>530</v>
      </c>
      <c r="B119" s="12" t="s">
        <v>531</v>
      </c>
      <c r="C119" s="12" t="s">
        <v>532</v>
      </c>
      <c r="D119" s="21" t="s">
        <v>533</v>
      </c>
      <c r="E119" s="21"/>
      <c r="F119" s="21"/>
      <c r="G119" s="21"/>
      <c r="H119" s="14">
        <v>46310</v>
      </c>
      <c r="I119" s="13" t="s">
        <v>26</v>
      </c>
      <c r="J119" s="12" t="s">
        <v>534</v>
      </c>
    </row>
    <row r="120" spans="1:10" ht="60" customHeight="1">
      <c r="A120" s="13" t="s">
        <v>535</v>
      </c>
      <c r="B120" s="12" t="s">
        <v>536</v>
      </c>
      <c r="C120" s="12" t="s">
        <v>537</v>
      </c>
      <c r="D120" s="21" t="s">
        <v>538</v>
      </c>
      <c r="E120" s="21"/>
      <c r="F120" s="21"/>
      <c r="G120" s="21"/>
      <c r="H120" s="14">
        <v>46310</v>
      </c>
      <c r="I120" s="13" t="s">
        <v>26</v>
      </c>
      <c r="J120" s="12" t="s">
        <v>539</v>
      </c>
    </row>
    <row r="121" spans="1:10" ht="60" customHeight="1">
      <c r="A121" s="13" t="s">
        <v>540</v>
      </c>
      <c r="B121" s="12" t="s">
        <v>541</v>
      </c>
      <c r="C121" s="12" t="s">
        <v>542</v>
      </c>
      <c r="D121" s="21" t="s">
        <v>543</v>
      </c>
      <c r="E121" s="21"/>
      <c r="F121" s="21"/>
      <c r="G121" s="21"/>
      <c r="H121" s="14">
        <v>46310</v>
      </c>
      <c r="I121" s="13" t="s">
        <v>28</v>
      </c>
      <c r="J121" s="12" t="s">
        <v>544</v>
      </c>
    </row>
    <row r="122" spans="1:10" ht="60" customHeight="1">
      <c r="A122" s="13" t="s">
        <v>545</v>
      </c>
      <c r="B122" s="12" t="s">
        <v>546</v>
      </c>
      <c r="C122" s="12" t="s">
        <v>547</v>
      </c>
      <c r="D122" s="21" t="s">
        <v>548</v>
      </c>
      <c r="E122" s="21"/>
      <c r="F122" s="21"/>
      <c r="G122" s="21"/>
      <c r="H122" s="14">
        <v>46310</v>
      </c>
      <c r="I122" s="13" t="s">
        <v>26</v>
      </c>
      <c r="J122" s="12" t="s">
        <v>549</v>
      </c>
    </row>
    <row r="123" spans="1:10" ht="60" customHeight="1">
      <c r="A123" s="13" t="s">
        <v>550</v>
      </c>
      <c r="B123" s="12" t="s">
        <v>551</v>
      </c>
      <c r="C123" s="12" t="s">
        <v>552</v>
      </c>
      <c r="D123" s="21" t="s">
        <v>553</v>
      </c>
      <c r="E123" s="21"/>
      <c r="F123" s="21"/>
      <c r="G123" s="21"/>
      <c r="H123" s="14">
        <v>46310</v>
      </c>
      <c r="I123" s="13" t="s">
        <v>26</v>
      </c>
      <c r="J123" s="12" t="s">
        <v>554</v>
      </c>
    </row>
    <row r="124" spans="1:10" ht="24" customHeight="1">
      <c r="A124" s="22" t="s">
        <v>555</v>
      </c>
      <c r="B124" s="22"/>
      <c r="C124" s="22"/>
      <c r="D124" s="22"/>
      <c r="E124" s="22"/>
      <c r="F124" s="22"/>
      <c r="G124" s="22"/>
      <c r="H124" s="22"/>
      <c r="I124" s="22"/>
      <c r="J124" s="22"/>
    </row>
    <row r="125" spans="1:10" ht="60" customHeight="1">
      <c r="A125" s="13" t="s">
        <v>556</v>
      </c>
      <c r="B125" s="12" t="s">
        <v>557</v>
      </c>
      <c r="C125" s="12" t="s">
        <v>558</v>
      </c>
      <c r="D125" s="21" t="s">
        <v>559</v>
      </c>
      <c r="E125" s="21"/>
      <c r="F125" s="21"/>
      <c r="G125" s="21"/>
      <c r="H125" s="14">
        <v>46310</v>
      </c>
      <c r="I125" s="13" t="s">
        <v>26</v>
      </c>
      <c r="J125" s="12" t="s">
        <v>560</v>
      </c>
    </row>
    <row r="126" spans="1:10" ht="60" customHeight="1">
      <c r="A126" s="13" t="s">
        <v>561</v>
      </c>
      <c r="B126" s="12" t="s">
        <v>562</v>
      </c>
      <c r="C126" s="12" t="s">
        <v>563</v>
      </c>
      <c r="D126" s="21" t="s">
        <v>564</v>
      </c>
      <c r="E126" s="21"/>
      <c r="F126" s="21"/>
      <c r="G126" s="21"/>
      <c r="H126" s="14">
        <v>46310</v>
      </c>
      <c r="I126" s="13" t="s">
        <v>26</v>
      </c>
      <c r="J126" s="12" t="s">
        <v>565</v>
      </c>
    </row>
    <row r="127" spans="1:10" ht="60" customHeight="1">
      <c r="A127" s="13" t="s">
        <v>566</v>
      </c>
      <c r="B127" s="12" t="s">
        <v>567</v>
      </c>
      <c r="C127" s="12" t="s">
        <v>568</v>
      </c>
      <c r="D127" s="21" t="s">
        <v>569</v>
      </c>
      <c r="E127" s="21"/>
      <c r="F127" s="21"/>
      <c r="G127" s="21"/>
      <c r="H127" s="14">
        <v>46310</v>
      </c>
      <c r="I127" s="13" t="s">
        <v>26</v>
      </c>
      <c r="J127" s="12" t="s">
        <v>570</v>
      </c>
    </row>
    <row r="128" spans="1:10" ht="60" customHeight="1">
      <c r="A128" s="13" t="s">
        <v>571</v>
      </c>
      <c r="B128" s="12" t="s">
        <v>572</v>
      </c>
      <c r="C128" s="12" t="s">
        <v>573</v>
      </c>
      <c r="D128" s="21" t="s">
        <v>574</v>
      </c>
      <c r="E128" s="21"/>
      <c r="F128" s="21"/>
      <c r="G128" s="21"/>
      <c r="H128" s="14">
        <v>46310</v>
      </c>
      <c r="I128" s="13" t="s">
        <v>26</v>
      </c>
      <c r="J128" s="12" t="s">
        <v>575</v>
      </c>
    </row>
    <row r="129" spans="1:10" ht="60" customHeight="1">
      <c r="A129" s="13" t="s">
        <v>576</v>
      </c>
      <c r="B129" s="12" t="s">
        <v>577</v>
      </c>
      <c r="C129" s="12" t="s">
        <v>578</v>
      </c>
      <c r="D129" s="21" t="s">
        <v>579</v>
      </c>
      <c r="E129" s="21"/>
      <c r="F129" s="21"/>
      <c r="G129" s="21"/>
      <c r="H129" s="14">
        <v>46310</v>
      </c>
      <c r="I129" s="13" t="s">
        <v>26</v>
      </c>
      <c r="J129" s="12" t="s">
        <v>580</v>
      </c>
    </row>
    <row r="130" spans="1:10" ht="60" customHeight="1">
      <c r="A130" s="13" t="s">
        <v>581</v>
      </c>
      <c r="B130" s="12" t="s">
        <v>582</v>
      </c>
      <c r="C130" s="12" t="s">
        <v>583</v>
      </c>
      <c r="D130" s="21" t="s">
        <v>584</v>
      </c>
      <c r="E130" s="21"/>
      <c r="F130" s="21"/>
      <c r="G130" s="21"/>
      <c r="H130" s="14">
        <v>46310</v>
      </c>
      <c r="I130" s="13" t="s">
        <v>26</v>
      </c>
      <c r="J130" s="12" t="s">
        <v>585</v>
      </c>
    </row>
    <row r="131" spans="1:10" ht="60" customHeight="1">
      <c r="A131" s="13" t="s">
        <v>586</v>
      </c>
      <c r="B131" s="12" t="s">
        <v>587</v>
      </c>
      <c r="C131" s="12" t="s">
        <v>588</v>
      </c>
      <c r="D131" s="21" t="s">
        <v>589</v>
      </c>
      <c r="E131" s="21"/>
      <c r="F131" s="21"/>
      <c r="G131" s="21"/>
      <c r="H131" s="14">
        <v>46310</v>
      </c>
      <c r="I131" s="13" t="s">
        <v>26</v>
      </c>
      <c r="J131" s="12" t="s">
        <v>590</v>
      </c>
    </row>
    <row r="132" spans="1:10" ht="60" customHeight="1">
      <c r="A132" s="13" t="s">
        <v>591</v>
      </c>
      <c r="B132" s="12" t="s">
        <v>592</v>
      </c>
      <c r="C132" s="12" t="s">
        <v>593</v>
      </c>
      <c r="D132" s="21" t="s">
        <v>594</v>
      </c>
      <c r="E132" s="21"/>
      <c r="F132" s="21"/>
      <c r="G132" s="21"/>
      <c r="H132" s="14">
        <v>46310</v>
      </c>
      <c r="I132" s="13" t="s">
        <v>26</v>
      </c>
      <c r="J132" s="12" t="s">
        <v>595</v>
      </c>
    </row>
    <row r="133" spans="1:10" ht="24" customHeight="1">
      <c r="A133" s="22" t="s">
        <v>596</v>
      </c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ht="60" customHeight="1">
      <c r="A134" s="13" t="s">
        <v>597</v>
      </c>
      <c r="B134" s="12" t="s">
        <v>598</v>
      </c>
      <c r="C134" s="12" t="s">
        <v>599</v>
      </c>
      <c r="D134" s="21" t="s">
        <v>600</v>
      </c>
      <c r="E134" s="21"/>
      <c r="F134" s="21"/>
      <c r="G134" s="21"/>
      <c r="H134" s="14">
        <v>46310</v>
      </c>
      <c r="I134" s="13" t="s">
        <v>26</v>
      </c>
      <c r="J134" s="12" t="s">
        <v>601</v>
      </c>
    </row>
    <row r="135" spans="1:10" ht="60" customHeight="1">
      <c r="A135" s="13" t="s">
        <v>602</v>
      </c>
      <c r="B135" s="12" t="s">
        <v>603</v>
      </c>
      <c r="C135" s="12" t="s">
        <v>604</v>
      </c>
      <c r="D135" s="21" t="s">
        <v>605</v>
      </c>
      <c r="E135" s="21"/>
      <c r="F135" s="21"/>
      <c r="G135" s="21"/>
      <c r="H135" s="14">
        <v>46310</v>
      </c>
      <c r="I135" s="13" t="s">
        <v>26</v>
      </c>
      <c r="J135" s="12" t="s">
        <v>606</v>
      </c>
    </row>
    <row r="136" spans="1:10" ht="60" customHeight="1">
      <c r="A136" s="13" t="s">
        <v>607</v>
      </c>
      <c r="B136" s="12" t="s">
        <v>608</v>
      </c>
      <c r="C136" s="12" t="s">
        <v>609</v>
      </c>
      <c r="D136" s="21" t="s">
        <v>163</v>
      </c>
      <c r="E136" s="21"/>
      <c r="F136" s="21"/>
      <c r="G136" s="21"/>
      <c r="H136" s="14">
        <v>46310</v>
      </c>
      <c r="I136" s="13" t="s">
        <v>26</v>
      </c>
      <c r="J136" s="12" t="s">
        <v>610</v>
      </c>
    </row>
    <row r="137" spans="1:10" ht="60" customHeight="1">
      <c r="A137" s="13" t="s">
        <v>611</v>
      </c>
      <c r="B137" s="12" t="s">
        <v>612</v>
      </c>
      <c r="C137" s="12" t="s">
        <v>613</v>
      </c>
      <c r="D137" s="21" t="s">
        <v>614</v>
      </c>
      <c r="E137" s="21"/>
      <c r="F137" s="21"/>
      <c r="G137" s="21"/>
      <c r="H137" s="14">
        <v>46310</v>
      </c>
      <c r="I137" s="13" t="s">
        <v>26</v>
      </c>
      <c r="J137" s="12" t="s">
        <v>615</v>
      </c>
    </row>
    <row r="138" spans="1:10" ht="60" customHeight="1">
      <c r="A138" s="13" t="s">
        <v>616</v>
      </c>
      <c r="B138" s="12" t="s">
        <v>617</v>
      </c>
      <c r="C138" s="12" t="s">
        <v>618</v>
      </c>
      <c r="D138" s="21" t="s">
        <v>619</v>
      </c>
      <c r="E138" s="21"/>
      <c r="F138" s="21"/>
      <c r="G138" s="21"/>
      <c r="H138" s="14">
        <v>46310</v>
      </c>
      <c r="I138" s="13" t="s">
        <v>26</v>
      </c>
      <c r="J138" s="12" t="s">
        <v>620</v>
      </c>
    </row>
    <row r="139" spans="1:10" ht="60" customHeight="1">
      <c r="A139" s="13" t="s">
        <v>621</v>
      </c>
      <c r="B139" s="12" t="s">
        <v>622</v>
      </c>
      <c r="C139" s="12" t="s">
        <v>623</v>
      </c>
      <c r="D139" s="21" t="s">
        <v>624</v>
      </c>
      <c r="E139" s="21"/>
      <c r="F139" s="21"/>
      <c r="G139" s="21"/>
      <c r="H139" s="14">
        <v>46310</v>
      </c>
      <c r="I139" s="13" t="s">
        <v>26</v>
      </c>
      <c r="J139" s="12" t="s">
        <v>625</v>
      </c>
    </row>
    <row r="140" spans="1:10" ht="60" customHeight="1">
      <c r="A140" s="13" t="s">
        <v>626</v>
      </c>
      <c r="B140" s="12" t="s">
        <v>627</v>
      </c>
      <c r="C140" s="12" t="s">
        <v>628</v>
      </c>
      <c r="D140" s="21" t="s">
        <v>629</v>
      </c>
      <c r="E140" s="21"/>
      <c r="F140" s="21"/>
      <c r="G140" s="21"/>
      <c r="H140" s="14">
        <v>46310</v>
      </c>
      <c r="I140" s="13" t="s">
        <v>26</v>
      </c>
      <c r="J140" s="12" t="s">
        <v>630</v>
      </c>
    </row>
    <row r="141" spans="1:10" ht="60" customHeight="1">
      <c r="A141" s="13" t="s">
        <v>631</v>
      </c>
      <c r="B141" s="12" t="s">
        <v>632</v>
      </c>
      <c r="C141" s="12" t="s">
        <v>633</v>
      </c>
      <c r="D141" s="21" t="s">
        <v>291</v>
      </c>
      <c r="E141" s="21"/>
      <c r="F141" s="21"/>
      <c r="G141" s="21"/>
      <c r="H141" s="14">
        <v>46310</v>
      </c>
      <c r="I141" s="13" t="s">
        <v>26</v>
      </c>
      <c r="J141" s="12" t="s">
        <v>634</v>
      </c>
    </row>
    <row r="142" spans="1:10" ht="60" customHeight="1">
      <c r="A142" s="13" t="s">
        <v>635</v>
      </c>
      <c r="B142" s="12" t="s">
        <v>636</v>
      </c>
      <c r="C142" s="12" t="s">
        <v>637</v>
      </c>
      <c r="D142" s="21" t="s">
        <v>638</v>
      </c>
      <c r="E142" s="21"/>
      <c r="F142" s="21"/>
      <c r="G142" s="21"/>
      <c r="H142" s="14">
        <v>46310</v>
      </c>
      <c r="I142" s="13" t="s">
        <v>26</v>
      </c>
      <c r="J142" s="12" t="s">
        <v>639</v>
      </c>
    </row>
    <row r="143" spans="1:10" ht="60" customHeight="1">
      <c r="A143" s="13" t="s">
        <v>640</v>
      </c>
      <c r="B143" s="12" t="s">
        <v>641</v>
      </c>
      <c r="C143" s="12" t="s">
        <v>642</v>
      </c>
      <c r="D143" s="21" t="s">
        <v>643</v>
      </c>
      <c r="E143" s="21"/>
      <c r="F143" s="21"/>
      <c r="G143" s="21"/>
      <c r="H143" s="14">
        <v>46310</v>
      </c>
      <c r="I143" s="13" t="s">
        <v>26</v>
      </c>
      <c r="J143" s="12" t="s">
        <v>644</v>
      </c>
    </row>
    <row r="144" spans="1:10" ht="60" customHeight="1">
      <c r="A144" s="13" t="s">
        <v>645</v>
      </c>
      <c r="B144" s="12" t="s">
        <v>646</v>
      </c>
      <c r="C144" s="12" t="s">
        <v>647</v>
      </c>
      <c r="D144" s="21" t="s">
        <v>648</v>
      </c>
      <c r="E144" s="21"/>
      <c r="F144" s="21"/>
      <c r="G144" s="21"/>
      <c r="H144" s="14">
        <v>46310</v>
      </c>
      <c r="I144" s="13" t="s">
        <v>26</v>
      </c>
      <c r="J144" s="12" t="s">
        <v>649</v>
      </c>
    </row>
    <row r="145" spans="1:10" ht="60" customHeight="1">
      <c r="A145" s="13" t="s">
        <v>650</v>
      </c>
      <c r="B145" s="12" t="s">
        <v>651</v>
      </c>
      <c r="C145" s="12" t="s">
        <v>652</v>
      </c>
      <c r="D145" s="21" t="s">
        <v>653</v>
      </c>
      <c r="E145" s="21"/>
      <c r="F145" s="21"/>
      <c r="G145" s="21"/>
      <c r="H145" s="14">
        <v>46310</v>
      </c>
      <c r="I145" s="13" t="s">
        <v>26</v>
      </c>
      <c r="J145" s="12" t="s">
        <v>654</v>
      </c>
    </row>
    <row r="146" spans="1:10" ht="60" customHeight="1">
      <c r="A146" s="13" t="s">
        <v>655</v>
      </c>
      <c r="B146" s="12" t="s">
        <v>656</v>
      </c>
      <c r="C146" s="12" t="s">
        <v>657</v>
      </c>
      <c r="D146" s="21" t="s">
        <v>658</v>
      </c>
      <c r="E146" s="21"/>
      <c r="F146" s="21"/>
      <c r="G146" s="21"/>
      <c r="H146" s="14">
        <v>46310</v>
      </c>
      <c r="I146" s="13" t="s">
        <v>26</v>
      </c>
      <c r="J146" s="12" t="s">
        <v>659</v>
      </c>
    </row>
    <row r="147" spans="1:10" ht="60" customHeight="1">
      <c r="A147" s="13" t="s">
        <v>660</v>
      </c>
      <c r="B147" s="12" t="s">
        <v>661</v>
      </c>
      <c r="C147" s="12" t="s">
        <v>662</v>
      </c>
      <c r="D147" s="21" t="s">
        <v>663</v>
      </c>
      <c r="E147" s="21"/>
      <c r="F147" s="21"/>
      <c r="G147" s="21"/>
      <c r="H147" s="14">
        <v>46310</v>
      </c>
      <c r="I147" s="13" t="s">
        <v>26</v>
      </c>
      <c r="J147" s="12" t="s">
        <v>664</v>
      </c>
    </row>
    <row r="148" spans="1:10" ht="60" customHeight="1">
      <c r="A148" s="13" t="s">
        <v>665</v>
      </c>
      <c r="B148" s="12" t="s">
        <v>666</v>
      </c>
      <c r="C148" s="12" t="s">
        <v>667</v>
      </c>
      <c r="D148" s="21" t="s">
        <v>163</v>
      </c>
      <c r="E148" s="21"/>
      <c r="F148" s="21"/>
      <c r="G148" s="21"/>
      <c r="H148" s="14">
        <v>46310</v>
      </c>
      <c r="I148" s="13" t="s">
        <v>26</v>
      </c>
      <c r="J148" s="12" t="s">
        <v>668</v>
      </c>
    </row>
    <row r="149" spans="1:10" ht="60" customHeight="1">
      <c r="A149" s="13" t="s">
        <v>669</v>
      </c>
      <c r="B149" s="12" t="s">
        <v>670</v>
      </c>
      <c r="C149" s="12" t="s">
        <v>671</v>
      </c>
      <c r="D149" s="21" t="s">
        <v>672</v>
      </c>
      <c r="E149" s="21"/>
      <c r="F149" s="21"/>
      <c r="G149" s="21"/>
      <c r="H149" s="14">
        <v>46310</v>
      </c>
      <c r="I149" s="13" t="s">
        <v>26</v>
      </c>
      <c r="J149" s="12" t="s">
        <v>673</v>
      </c>
    </row>
    <row r="150" spans="1:10" ht="60" customHeight="1">
      <c r="A150" s="13" t="s">
        <v>674</v>
      </c>
      <c r="B150" s="12" t="s">
        <v>675</v>
      </c>
      <c r="C150" s="12" t="s">
        <v>676</v>
      </c>
      <c r="D150" s="21" t="s">
        <v>677</v>
      </c>
      <c r="E150" s="21"/>
      <c r="F150" s="21"/>
      <c r="G150" s="21"/>
      <c r="H150" s="14">
        <v>46310</v>
      </c>
      <c r="I150" s="13" t="s">
        <v>26</v>
      </c>
      <c r="J150" s="12" t="s">
        <v>678</v>
      </c>
    </row>
    <row r="151" spans="1:10" ht="60" customHeight="1">
      <c r="A151" s="13" t="s">
        <v>679</v>
      </c>
      <c r="B151" s="12" t="s">
        <v>680</v>
      </c>
      <c r="C151" s="12" t="s">
        <v>681</v>
      </c>
      <c r="D151" s="21" t="s">
        <v>163</v>
      </c>
      <c r="E151" s="21"/>
      <c r="F151" s="21"/>
      <c r="G151" s="21"/>
      <c r="H151" s="14">
        <v>46310</v>
      </c>
      <c r="I151" s="13" t="s">
        <v>26</v>
      </c>
      <c r="J151" s="12" t="s">
        <v>682</v>
      </c>
    </row>
    <row r="152" spans="1:10" ht="60" customHeight="1">
      <c r="A152" s="13" t="s">
        <v>683</v>
      </c>
      <c r="B152" s="12" t="s">
        <v>684</v>
      </c>
      <c r="C152" s="12" t="s">
        <v>685</v>
      </c>
      <c r="D152" s="21" t="s">
        <v>163</v>
      </c>
      <c r="E152" s="21"/>
      <c r="F152" s="21"/>
      <c r="G152" s="21"/>
      <c r="H152" s="14">
        <v>46310</v>
      </c>
      <c r="I152" s="13" t="s">
        <v>26</v>
      </c>
      <c r="J152" s="12" t="s">
        <v>686</v>
      </c>
    </row>
    <row r="153" spans="1:10" ht="60" customHeight="1">
      <c r="A153" s="13" t="s">
        <v>687</v>
      </c>
      <c r="B153" s="12" t="s">
        <v>688</v>
      </c>
      <c r="C153" s="12" t="s">
        <v>689</v>
      </c>
      <c r="D153" s="21" t="s">
        <v>690</v>
      </c>
      <c r="E153" s="21"/>
      <c r="F153" s="21"/>
      <c r="G153" s="21"/>
      <c r="H153" s="14">
        <v>46310</v>
      </c>
      <c r="I153" s="13" t="s">
        <v>26</v>
      </c>
      <c r="J153" s="12" t="s">
        <v>691</v>
      </c>
    </row>
    <row r="154" spans="1:10" ht="60" customHeight="1">
      <c r="A154" s="13" t="s">
        <v>692</v>
      </c>
      <c r="B154" s="12" t="s">
        <v>693</v>
      </c>
      <c r="C154" s="12" t="s">
        <v>694</v>
      </c>
      <c r="D154" s="21" t="s">
        <v>695</v>
      </c>
      <c r="E154" s="21"/>
      <c r="F154" s="21"/>
      <c r="G154" s="21"/>
      <c r="H154" s="14">
        <v>46310</v>
      </c>
      <c r="I154" s="13" t="s">
        <v>26</v>
      </c>
      <c r="J154" s="12" t="s">
        <v>696</v>
      </c>
    </row>
    <row r="155" spans="1:10" ht="60" customHeight="1">
      <c r="A155" s="13" t="s">
        <v>697</v>
      </c>
      <c r="B155" s="12" t="s">
        <v>698</v>
      </c>
      <c r="C155" s="12" t="s">
        <v>699</v>
      </c>
      <c r="D155" s="21" t="s">
        <v>700</v>
      </c>
      <c r="E155" s="21"/>
      <c r="F155" s="21"/>
      <c r="G155" s="21"/>
      <c r="H155" s="14">
        <v>46310</v>
      </c>
      <c r="I155" s="13" t="s">
        <v>26</v>
      </c>
      <c r="J155" s="12" t="s">
        <v>961</v>
      </c>
    </row>
    <row r="156" spans="1:10" ht="60" customHeight="1">
      <c r="A156" s="13" t="s">
        <v>701</v>
      </c>
      <c r="B156" s="12" t="s">
        <v>702</v>
      </c>
      <c r="C156" s="12" t="s">
        <v>703</v>
      </c>
      <c r="D156" s="21" t="s">
        <v>163</v>
      </c>
      <c r="E156" s="21"/>
      <c r="F156" s="21"/>
      <c r="G156" s="21"/>
      <c r="H156" s="14">
        <v>46310</v>
      </c>
      <c r="I156" s="13" t="s">
        <v>26</v>
      </c>
      <c r="J156" s="12" t="s">
        <v>962</v>
      </c>
    </row>
    <row r="157" spans="1:10" ht="60" customHeight="1">
      <c r="A157" s="13" t="s">
        <v>704</v>
      </c>
      <c r="B157" s="12" t="s">
        <v>705</v>
      </c>
      <c r="C157" s="12" t="s">
        <v>706</v>
      </c>
      <c r="D157" s="21" t="s">
        <v>707</v>
      </c>
      <c r="E157" s="21"/>
      <c r="F157" s="21"/>
      <c r="G157" s="21"/>
      <c r="H157" s="14">
        <v>46310</v>
      </c>
      <c r="I157" s="13" t="s">
        <v>26</v>
      </c>
      <c r="J157" s="12" t="s">
        <v>963</v>
      </c>
    </row>
    <row r="158" spans="1:10" ht="24" customHeight="1">
      <c r="A158" s="22" t="s">
        <v>708</v>
      </c>
      <c r="B158" s="22"/>
      <c r="C158" s="22"/>
      <c r="D158" s="22"/>
      <c r="E158" s="22"/>
      <c r="F158" s="22"/>
      <c r="G158" s="22"/>
      <c r="H158" s="22"/>
      <c r="I158" s="22"/>
      <c r="J158" s="22"/>
    </row>
    <row r="159" spans="1:10" ht="60" customHeight="1">
      <c r="A159" s="13" t="s">
        <v>709</v>
      </c>
      <c r="B159" s="12" t="s">
        <v>710</v>
      </c>
      <c r="C159" s="12" t="s">
        <v>711</v>
      </c>
      <c r="D159" s="21" t="s">
        <v>712</v>
      </c>
      <c r="E159" s="21"/>
      <c r="F159" s="21"/>
      <c r="G159" s="21"/>
      <c r="H159" s="14">
        <v>46310</v>
      </c>
      <c r="I159" s="13" t="s">
        <v>26</v>
      </c>
      <c r="J159" s="12" t="s">
        <v>964</v>
      </c>
    </row>
    <row r="160" spans="1:10" ht="60" customHeight="1">
      <c r="A160" s="13" t="s">
        <v>713</v>
      </c>
      <c r="B160" s="12" t="s">
        <v>714</v>
      </c>
      <c r="C160" s="12" t="s">
        <v>715</v>
      </c>
      <c r="D160" s="21" t="s">
        <v>716</v>
      </c>
      <c r="E160" s="21"/>
      <c r="F160" s="21"/>
      <c r="G160" s="21"/>
      <c r="H160" s="14">
        <v>46310</v>
      </c>
      <c r="I160" s="13" t="s">
        <v>26</v>
      </c>
      <c r="J160" s="12" t="s">
        <v>965</v>
      </c>
    </row>
    <row r="161" spans="1:10" ht="60" customHeight="1">
      <c r="A161" s="13" t="s">
        <v>717</v>
      </c>
      <c r="B161" s="12" t="s">
        <v>718</v>
      </c>
      <c r="C161" s="12" t="s">
        <v>719</v>
      </c>
      <c r="D161" s="21" t="s">
        <v>720</v>
      </c>
      <c r="E161" s="21"/>
      <c r="F161" s="21"/>
      <c r="G161" s="21"/>
      <c r="H161" s="14">
        <v>46310</v>
      </c>
      <c r="I161" s="13" t="s">
        <v>26</v>
      </c>
      <c r="J161" s="12" t="s">
        <v>966</v>
      </c>
    </row>
    <row r="162" spans="1:10" ht="60" customHeight="1">
      <c r="A162" s="13" t="s">
        <v>721</v>
      </c>
      <c r="B162" s="12" t="s">
        <v>722</v>
      </c>
      <c r="C162" s="12" t="s">
        <v>723</v>
      </c>
      <c r="D162" s="21" t="s">
        <v>724</v>
      </c>
      <c r="E162" s="21"/>
      <c r="F162" s="21"/>
      <c r="G162" s="21"/>
      <c r="H162" s="14">
        <v>46310</v>
      </c>
      <c r="I162" s="13" t="s">
        <v>26</v>
      </c>
      <c r="J162" s="12" t="s">
        <v>967</v>
      </c>
    </row>
    <row r="163" spans="1:10" ht="60" customHeight="1">
      <c r="A163" s="13" t="s">
        <v>725</v>
      </c>
      <c r="B163" s="12" t="s">
        <v>726</v>
      </c>
      <c r="C163" s="12" t="s">
        <v>727</v>
      </c>
      <c r="D163" s="21" t="s">
        <v>728</v>
      </c>
      <c r="E163" s="21"/>
      <c r="F163" s="21"/>
      <c r="G163" s="21"/>
      <c r="H163" s="14">
        <v>46310</v>
      </c>
      <c r="I163" s="13" t="s">
        <v>26</v>
      </c>
      <c r="J163" s="12" t="s">
        <v>968</v>
      </c>
    </row>
    <row r="164" spans="1:10" ht="60" customHeight="1">
      <c r="A164" s="13" t="s">
        <v>729</v>
      </c>
      <c r="B164" s="12" t="s">
        <v>730</v>
      </c>
      <c r="C164" s="12" t="s">
        <v>731</v>
      </c>
      <c r="D164" s="21" t="s">
        <v>163</v>
      </c>
      <c r="E164" s="21"/>
      <c r="F164" s="21"/>
      <c r="G164" s="21"/>
      <c r="H164" s="14">
        <v>46310</v>
      </c>
      <c r="I164" s="13" t="s">
        <v>26</v>
      </c>
      <c r="J164" s="12" t="s">
        <v>969</v>
      </c>
    </row>
    <row r="165" spans="1:10" ht="60" customHeight="1">
      <c r="A165" s="13" t="s">
        <v>732</v>
      </c>
      <c r="B165" s="12" t="s">
        <v>733</v>
      </c>
      <c r="C165" s="12" t="s">
        <v>734</v>
      </c>
      <c r="D165" s="21" t="s">
        <v>735</v>
      </c>
      <c r="E165" s="21"/>
      <c r="F165" s="21"/>
      <c r="G165" s="21"/>
      <c r="H165" s="14">
        <v>46310</v>
      </c>
      <c r="I165" s="13" t="s">
        <v>26</v>
      </c>
      <c r="J165" s="12" t="s">
        <v>970</v>
      </c>
    </row>
    <row r="166" spans="1:10" ht="60" customHeight="1">
      <c r="A166" s="13" t="s">
        <v>736</v>
      </c>
      <c r="B166" s="12" t="s">
        <v>737</v>
      </c>
      <c r="C166" s="12" t="s">
        <v>738</v>
      </c>
      <c r="D166" s="21" t="s">
        <v>739</v>
      </c>
      <c r="E166" s="21"/>
      <c r="F166" s="21"/>
      <c r="G166" s="21"/>
      <c r="H166" s="14">
        <v>46310</v>
      </c>
      <c r="I166" s="13" t="s">
        <v>26</v>
      </c>
      <c r="J166" s="12" t="s">
        <v>971</v>
      </c>
    </row>
    <row r="167" spans="1:10" ht="60" customHeight="1">
      <c r="A167" s="13" t="s">
        <v>740</v>
      </c>
      <c r="B167" s="12" t="s">
        <v>741</v>
      </c>
      <c r="C167" s="12" t="s">
        <v>742</v>
      </c>
      <c r="D167" s="21" t="s">
        <v>743</v>
      </c>
      <c r="E167" s="21"/>
      <c r="F167" s="21"/>
      <c r="G167" s="21"/>
      <c r="H167" s="14">
        <v>46310</v>
      </c>
      <c r="I167" s="13" t="s">
        <v>26</v>
      </c>
      <c r="J167" s="12" t="s">
        <v>972</v>
      </c>
    </row>
    <row r="168" spans="1:10" ht="60" customHeight="1">
      <c r="A168" s="13" t="s">
        <v>744</v>
      </c>
      <c r="B168" s="12" t="s">
        <v>745</v>
      </c>
      <c r="C168" s="12" t="s">
        <v>746</v>
      </c>
      <c r="D168" s="21" t="s">
        <v>747</v>
      </c>
      <c r="E168" s="21"/>
      <c r="F168" s="21"/>
      <c r="G168" s="21"/>
      <c r="H168" s="14">
        <v>46310</v>
      </c>
      <c r="I168" s="13" t="s">
        <v>26</v>
      </c>
      <c r="J168" s="12" t="s">
        <v>973</v>
      </c>
    </row>
    <row r="169" spans="1:10" ht="60" customHeight="1">
      <c r="A169" s="13" t="s">
        <v>748</v>
      </c>
      <c r="B169" s="12" t="s">
        <v>749</v>
      </c>
      <c r="C169" s="12" t="s">
        <v>750</v>
      </c>
      <c r="D169" s="21" t="s">
        <v>751</v>
      </c>
      <c r="E169" s="21"/>
      <c r="F169" s="21"/>
      <c r="G169" s="21"/>
      <c r="H169" s="14">
        <v>46310</v>
      </c>
      <c r="I169" s="13" t="s">
        <v>26</v>
      </c>
      <c r="J169" s="12" t="s">
        <v>974</v>
      </c>
    </row>
    <row r="170" spans="1:10" ht="60" customHeight="1">
      <c r="A170" s="13" t="s">
        <v>752</v>
      </c>
      <c r="B170" s="12" t="s">
        <v>753</v>
      </c>
      <c r="C170" s="12" t="s">
        <v>754</v>
      </c>
      <c r="D170" s="21" t="s">
        <v>163</v>
      </c>
      <c r="E170" s="21"/>
      <c r="F170" s="21"/>
      <c r="G170" s="21"/>
      <c r="H170" s="14">
        <v>46310</v>
      </c>
      <c r="I170" s="13" t="s">
        <v>26</v>
      </c>
      <c r="J170" s="12" t="s">
        <v>975</v>
      </c>
    </row>
    <row r="171" spans="1:10" ht="60" customHeight="1">
      <c r="A171" s="13" t="s">
        <v>755</v>
      </c>
      <c r="B171" s="12" t="s">
        <v>756</v>
      </c>
      <c r="C171" s="12" t="s">
        <v>757</v>
      </c>
      <c r="D171" s="21" t="s">
        <v>758</v>
      </c>
      <c r="E171" s="21"/>
      <c r="F171" s="21"/>
      <c r="G171" s="21"/>
      <c r="H171" s="14">
        <v>46310</v>
      </c>
      <c r="I171" s="13" t="s">
        <v>26</v>
      </c>
      <c r="J171" s="12" t="s">
        <v>976</v>
      </c>
    </row>
    <row r="172" spans="1:10" ht="24" customHeight="1">
      <c r="A172" s="22" t="s">
        <v>759</v>
      </c>
      <c r="B172" s="22"/>
      <c r="C172" s="22"/>
      <c r="D172" s="22"/>
      <c r="E172" s="22"/>
      <c r="F172" s="22"/>
      <c r="G172" s="22"/>
      <c r="H172" s="22"/>
      <c r="I172" s="22"/>
      <c r="J172" s="22"/>
    </row>
    <row r="173" spans="1:10" ht="73.05" customHeight="1">
      <c r="A173" s="13" t="s">
        <v>760</v>
      </c>
      <c r="B173" s="12" t="s">
        <v>761</v>
      </c>
      <c r="C173" s="12" t="s">
        <v>762</v>
      </c>
      <c r="D173" s="21" t="s">
        <v>763</v>
      </c>
      <c r="E173" s="21"/>
      <c r="F173" s="21"/>
      <c r="G173" s="21"/>
      <c r="H173" s="14">
        <v>46310</v>
      </c>
      <c r="I173" s="13" t="s">
        <v>26</v>
      </c>
      <c r="J173" s="12" t="s">
        <v>764</v>
      </c>
    </row>
    <row r="174" spans="1:10" ht="60" customHeight="1">
      <c r="A174" s="13" t="s">
        <v>765</v>
      </c>
      <c r="B174" s="12" t="s">
        <v>766</v>
      </c>
      <c r="C174" s="12" t="s">
        <v>767</v>
      </c>
      <c r="D174" s="21" t="s">
        <v>768</v>
      </c>
      <c r="E174" s="21"/>
      <c r="F174" s="21"/>
      <c r="G174" s="21"/>
      <c r="H174" s="14">
        <v>46310</v>
      </c>
      <c r="I174" s="13" t="s">
        <v>26</v>
      </c>
      <c r="J174" s="12" t="s">
        <v>769</v>
      </c>
    </row>
    <row r="175" spans="1:10" ht="73.05" customHeight="1">
      <c r="A175" s="13" t="s">
        <v>770</v>
      </c>
      <c r="B175" s="12" t="s">
        <v>771</v>
      </c>
      <c r="C175" s="12" t="s">
        <v>772</v>
      </c>
      <c r="D175" s="21" t="s">
        <v>773</v>
      </c>
      <c r="E175" s="21"/>
      <c r="F175" s="21"/>
      <c r="G175" s="21"/>
      <c r="H175" s="14">
        <v>46310</v>
      </c>
      <c r="I175" s="13" t="s">
        <v>26</v>
      </c>
      <c r="J175" s="12" t="s">
        <v>977</v>
      </c>
    </row>
    <row r="176" spans="1:10" ht="60" customHeight="1">
      <c r="A176" s="13" t="s">
        <v>774</v>
      </c>
      <c r="B176" s="12" t="s">
        <v>775</v>
      </c>
      <c r="C176" s="12" t="s">
        <v>776</v>
      </c>
      <c r="D176" s="21" t="s">
        <v>777</v>
      </c>
      <c r="E176" s="21"/>
      <c r="F176" s="21"/>
      <c r="G176" s="21"/>
      <c r="H176" s="14">
        <v>46310</v>
      </c>
      <c r="I176" s="13" t="s">
        <v>26</v>
      </c>
      <c r="J176" s="12" t="s">
        <v>978</v>
      </c>
    </row>
    <row r="177" spans="1:10" ht="60" customHeight="1">
      <c r="A177" s="13" t="s">
        <v>778</v>
      </c>
      <c r="B177" s="12" t="s">
        <v>779</v>
      </c>
      <c r="C177" s="12" t="s">
        <v>780</v>
      </c>
      <c r="D177" s="21" t="s">
        <v>781</v>
      </c>
      <c r="E177" s="21"/>
      <c r="F177" s="21"/>
      <c r="G177" s="21"/>
      <c r="H177" s="14">
        <v>46310</v>
      </c>
      <c r="I177" s="13" t="s">
        <v>26</v>
      </c>
      <c r="J177" s="12" t="s">
        <v>979</v>
      </c>
    </row>
    <row r="178" spans="1:10" ht="60" customHeight="1">
      <c r="A178" s="13" t="s">
        <v>782</v>
      </c>
      <c r="B178" s="12" t="s">
        <v>783</v>
      </c>
      <c r="C178" s="12" t="s">
        <v>784</v>
      </c>
      <c r="D178" s="21" t="s">
        <v>785</v>
      </c>
      <c r="E178" s="21"/>
      <c r="F178" s="21"/>
      <c r="G178" s="21"/>
      <c r="H178" s="14">
        <v>46310</v>
      </c>
      <c r="I178" s="13" t="s">
        <v>26</v>
      </c>
      <c r="J178" s="12" t="s">
        <v>786</v>
      </c>
    </row>
    <row r="179" spans="1:10" ht="73.05" customHeight="1">
      <c r="A179" s="13" t="s">
        <v>787</v>
      </c>
      <c r="B179" s="12" t="s">
        <v>788</v>
      </c>
      <c r="C179" s="12" t="s">
        <v>789</v>
      </c>
      <c r="D179" s="21" t="s">
        <v>790</v>
      </c>
      <c r="E179" s="21"/>
      <c r="F179" s="21"/>
      <c r="G179" s="21"/>
      <c r="H179" s="14">
        <v>46310</v>
      </c>
      <c r="I179" s="13" t="s">
        <v>26</v>
      </c>
      <c r="J179" s="12" t="s">
        <v>980</v>
      </c>
    </row>
    <row r="180" spans="1:10" ht="60" customHeight="1">
      <c r="A180" s="13" t="s">
        <v>791</v>
      </c>
      <c r="B180" s="12" t="s">
        <v>792</v>
      </c>
      <c r="C180" s="12" t="s">
        <v>793</v>
      </c>
      <c r="D180" s="21" t="s">
        <v>794</v>
      </c>
      <c r="E180" s="21"/>
      <c r="F180" s="21"/>
      <c r="G180" s="21"/>
      <c r="H180" s="14">
        <v>46310</v>
      </c>
      <c r="I180" s="13" t="s">
        <v>28</v>
      </c>
      <c r="J180" s="12" t="s">
        <v>981</v>
      </c>
    </row>
    <row r="181" spans="1:10" ht="60" customHeight="1">
      <c r="A181" s="13" t="s">
        <v>795</v>
      </c>
      <c r="B181" s="12" t="s">
        <v>796</v>
      </c>
      <c r="C181" s="12" t="s">
        <v>797</v>
      </c>
      <c r="D181" s="21" t="s">
        <v>798</v>
      </c>
      <c r="E181" s="21"/>
      <c r="F181" s="21"/>
      <c r="G181" s="21"/>
      <c r="H181" s="14">
        <v>46310</v>
      </c>
      <c r="I181" s="13" t="s">
        <v>28</v>
      </c>
      <c r="J181" s="12" t="s">
        <v>982</v>
      </c>
    </row>
    <row r="182" spans="1:10" ht="60" customHeight="1">
      <c r="A182" s="13" t="s">
        <v>799</v>
      </c>
      <c r="B182" s="12" t="s">
        <v>800</v>
      </c>
      <c r="C182" s="12" t="s">
        <v>801</v>
      </c>
      <c r="D182" s="21" t="s">
        <v>802</v>
      </c>
      <c r="E182" s="21"/>
      <c r="F182" s="21"/>
      <c r="G182" s="21"/>
      <c r="H182" s="14">
        <v>46310</v>
      </c>
      <c r="I182" s="13" t="s">
        <v>26</v>
      </c>
      <c r="J182" s="12" t="s">
        <v>983</v>
      </c>
    </row>
    <row r="183" spans="1:10" ht="73.05" customHeight="1">
      <c r="A183" s="13" t="s">
        <v>803</v>
      </c>
      <c r="B183" s="12" t="s">
        <v>804</v>
      </c>
      <c r="C183" s="12" t="s">
        <v>805</v>
      </c>
      <c r="D183" s="21" t="s">
        <v>806</v>
      </c>
      <c r="E183" s="21"/>
      <c r="F183" s="21"/>
      <c r="G183" s="21"/>
      <c r="H183" s="14">
        <v>46310</v>
      </c>
      <c r="I183" s="13" t="s">
        <v>26</v>
      </c>
      <c r="J183" s="12" t="s">
        <v>807</v>
      </c>
    </row>
    <row r="184" spans="1:10" ht="60" customHeight="1">
      <c r="A184" s="13" t="s">
        <v>808</v>
      </c>
      <c r="B184" s="12" t="s">
        <v>809</v>
      </c>
      <c r="C184" s="12" t="s">
        <v>810</v>
      </c>
      <c r="D184" s="21" t="s">
        <v>811</v>
      </c>
      <c r="E184" s="21"/>
      <c r="F184" s="21"/>
      <c r="G184" s="21"/>
      <c r="H184" s="14">
        <v>46310</v>
      </c>
      <c r="I184" s="13" t="s">
        <v>28</v>
      </c>
      <c r="J184" s="12" t="s">
        <v>812</v>
      </c>
    </row>
    <row r="185" spans="1:10" ht="24" customHeight="1">
      <c r="A185" s="22" t="s">
        <v>813</v>
      </c>
      <c r="B185" s="22"/>
      <c r="C185" s="22"/>
      <c r="D185" s="22"/>
      <c r="E185" s="22"/>
      <c r="F185" s="22"/>
      <c r="G185" s="22"/>
      <c r="H185" s="22"/>
      <c r="I185" s="22"/>
      <c r="J185" s="22"/>
    </row>
    <row r="186" spans="1:10" ht="73.05" customHeight="1">
      <c r="A186" s="13" t="s">
        <v>814</v>
      </c>
      <c r="B186" s="12" t="s">
        <v>815</v>
      </c>
      <c r="C186" s="12" t="s">
        <v>816</v>
      </c>
      <c r="D186" s="21" t="s">
        <v>817</v>
      </c>
      <c r="E186" s="21"/>
      <c r="F186" s="21"/>
      <c r="G186" s="21"/>
      <c r="H186" s="14">
        <v>46310</v>
      </c>
      <c r="I186" s="13" t="s">
        <v>26</v>
      </c>
      <c r="J186" s="12" t="s">
        <v>984</v>
      </c>
    </row>
    <row r="187" spans="1:10" ht="73.05" customHeight="1">
      <c r="A187" s="13" t="s">
        <v>818</v>
      </c>
      <c r="B187" s="12" t="s">
        <v>819</v>
      </c>
      <c r="C187" s="12" t="s">
        <v>820</v>
      </c>
      <c r="D187" s="21" t="s">
        <v>821</v>
      </c>
      <c r="E187" s="21"/>
      <c r="F187" s="21"/>
      <c r="G187" s="21"/>
      <c r="H187" s="14">
        <v>46310</v>
      </c>
      <c r="I187" s="13" t="s">
        <v>26</v>
      </c>
      <c r="J187" s="12" t="s">
        <v>985</v>
      </c>
    </row>
    <row r="188" spans="1:10" ht="60" customHeight="1">
      <c r="A188" s="13" t="s">
        <v>822</v>
      </c>
      <c r="B188" s="12" t="s">
        <v>823</v>
      </c>
      <c r="C188" s="12" t="s">
        <v>824</v>
      </c>
      <c r="D188" s="21" t="s">
        <v>825</v>
      </c>
      <c r="E188" s="21"/>
      <c r="F188" s="21"/>
      <c r="G188" s="21"/>
      <c r="H188" s="14">
        <v>46310</v>
      </c>
      <c r="I188" s="13" t="s">
        <v>26</v>
      </c>
      <c r="J188" s="12" t="s">
        <v>986</v>
      </c>
    </row>
    <row r="189" spans="1:10" ht="60" customHeight="1">
      <c r="A189" s="13" t="s">
        <v>826</v>
      </c>
      <c r="B189" s="12" t="s">
        <v>827</v>
      </c>
      <c r="C189" s="12" t="s">
        <v>828</v>
      </c>
      <c r="D189" s="21" t="s">
        <v>829</v>
      </c>
      <c r="E189" s="21"/>
      <c r="F189" s="21"/>
      <c r="G189" s="21"/>
      <c r="H189" s="14">
        <v>46310</v>
      </c>
      <c r="I189" s="13" t="s">
        <v>26</v>
      </c>
      <c r="J189" s="12" t="s">
        <v>987</v>
      </c>
    </row>
    <row r="190" spans="1:10" ht="60" customHeight="1">
      <c r="A190" s="13" t="s">
        <v>830</v>
      </c>
      <c r="B190" s="12" t="s">
        <v>831</v>
      </c>
      <c r="C190" s="12" t="s">
        <v>832</v>
      </c>
      <c r="D190" s="21" t="s">
        <v>833</v>
      </c>
      <c r="E190" s="21"/>
      <c r="F190" s="21"/>
      <c r="G190" s="21"/>
      <c r="H190" s="14">
        <v>46310</v>
      </c>
      <c r="I190" s="13" t="s">
        <v>28</v>
      </c>
      <c r="J190" s="12" t="s">
        <v>988</v>
      </c>
    </row>
    <row r="191" spans="1:10" ht="60" customHeight="1">
      <c r="A191" s="13" t="s">
        <v>834</v>
      </c>
      <c r="B191" s="12" t="s">
        <v>835</v>
      </c>
      <c r="C191" s="12" t="s">
        <v>836</v>
      </c>
      <c r="D191" s="21" t="s">
        <v>837</v>
      </c>
      <c r="E191" s="21"/>
      <c r="F191" s="21"/>
      <c r="G191" s="21"/>
      <c r="H191" s="14">
        <v>46310</v>
      </c>
      <c r="I191" s="13" t="s">
        <v>26</v>
      </c>
      <c r="J191" s="12" t="s">
        <v>989</v>
      </c>
    </row>
    <row r="192" spans="1:10" ht="60" customHeight="1">
      <c r="A192" s="13" t="s">
        <v>838</v>
      </c>
      <c r="B192" s="12" t="s">
        <v>839</v>
      </c>
      <c r="C192" s="12" t="s">
        <v>840</v>
      </c>
      <c r="D192" s="21" t="s">
        <v>841</v>
      </c>
      <c r="E192" s="21"/>
      <c r="F192" s="21"/>
      <c r="G192" s="21"/>
      <c r="H192" s="14">
        <v>46310</v>
      </c>
      <c r="I192" s="13" t="s">
        <v>26</v>
      </c>
      <c r="J192" s="12" t="s">
        <v>990</v>
      </c>
    </row>
    <row r="193" spans="1:10" ht="60" customHeight="1">
      <c r="A193" s="13" t="s">
        <v>842</v>
      </c>
      <c r="B193" s="12" t="s">
        <v>843</v>
      </c>
      <c r="C193" s="12" t="s">
        <v>844</v>
      </c>
      <c r="D193" s="21" t="s">
        <v>845</v>
      </c>
      <c r="E193" s="21"/>
      <c r="F193" s="21"/>
      <c r="G193" s="21"/>
      <c r="H193" s="14">
        <v>46310</v>
      </c>
      <c r="I193" s="13" t="s">
        <v>26</v>
      </c>
      <c r="J193" s="12" t="s">
        <v>991</v>
      </c>
    </row>
    <row r="194" spans="1:10" ht="24" customHeight="1">
      <c r="A194" s="22" t="s">
        <v>846</v>
      </c>
      <c r="B194" s="22"/>
      <c r="C194" s="22"/>
      <c r="D194" s="22"/>
      <c r="E194" s="22"/>
      <c r="F194" s="22"/>
      <c r="G194" s="22"/>
      <c r="H194" s="22"/>
      <c r="I194" s="22"/>
      <c r="J194" s="22"/>
    </row>
    <row r="195" spans="1:10" ht="60" customHeight="1">
      <c r="A195" s="13" t="s">
        <v>847</v>
      </c>
      <c r="B195" s="12" t="s">
        <v>848</v>
      </c>
      <c r="C195" s="12" t="s">
        <v>849</v>
      </c>
      <c r="D195" s="21" t="s">
        <v>850</v>
      </c>
      <c r="E195" s="21"/>
      <c r="F195" s="21"/>
      <c r="G195" s="21"/>
      <c r="H195" s="14">
        <v>46310</v>
      </c>
      <c r="I195" s="13" t="s">
        <v>28</v>
      </c>
      <c r="J195" s="12" t="s">
        <v>992</v>
      </c>
    </row>
    <row r="196" spans="1:10" ht="60" customHeight="1">
      <c r="A196" s="13" t="s">
        <v>851</v>
      </c>
      <c r="B196" s="12" t="s">
        <v>852</v>
      </c>
      <c r="C196" s="12" t="s">
        <v>853</v>
      </c>
      <c r="D196" s="21" t="s">
        <v>854</v>
      </c>
      <c r="E196" s="21"/>
      <c r="F196" s="21"/>
      <c r="G196" s="21"/>
      <c r="H196" s="14">
        <v>46310</v>
      </c>
      <c r="I196" s="13" t="s">
        <v>26</v>
      </c>
      <c r="J196" s="12" t="s">
        <v>993</v>
      </c>
    </row>
    <row r="197" spans="1:10" ht="60" customHeight="1">
      <c r="A197" s="13" t="s">
        <v>855</v>
      </c>
      <c r="B197" s="12" t="s">
        <v>856</v>
      </c>
      <c r="C197" s="12" t="s">
        <v>857</v>
      </c>
      <c r="D197" s="21" t="s">
        <v>858</v>
      </c>
      <c r="E197" s="21"/>
      <c r="F197" s="21"/>
      <c r="G197" s="21"/>
      <c r="H197" s="14">
        <v>46310</v>
      </c>
      <c r="I197" s="13" t="s">
        <v>26</v>
      </c>
      <c r="J197" s="12" t="s">
        <v>994</v>
      </c>
    </row>
    <row r="198" spans="1:10" ht="60" customHeight="1">
      <c r="A198" s="13" t="s">
        <v>859</v>
      </c>
      <c r="B198" s="12" t="s">
        <v>860</v>
      </c>
      <c r="C198" s="12" t="s">
        <v>861</v>
      </c>
      <c r="D198" s="21" t="s">
        <v>862</v>
      </c>
      <c r="E198" s="21"/>
      <c r="F198" s="21"/>
      <c r="G198" s="21"/>
      <c r="H198" s="14">
        <v>46310</v>
      </c>
      <c r="I198" s="13" t="s">
        <v>26</v>
      </c>
      <c r="J198" s="12" t="s">
        <v>995</v>
      </c>
    </row>
    <row r="199" spans="1:10" ht="60" customHeight="1">
      <c r="A199" s="13" t="s">
        <v>863</v>
      </c>
      <c r="B199" s="12" t="s">
        <v>864</v>
      </c>
      <c r="C199" s="12" t="s">
        <v>865</v>
      </c>
      <c r="D199" s="21" t="s">
        <v>866</v>
      </c>
      <c r="E199" s="21"/>
      <c r="F199" s="21"/>
      <c r="G199" s="21"/>
      <c r="H199" s="14">
        <v>46310</v>
      </c>
      <c r="I199" s="13" t="s">
        <v>26</v>
      </c>
      <c r="J199" s="12" t="s">
        <v>996</v>
      </c>
    </row>
    <row r="200" spans="1:10" ht="73.05" customHeight="1">
      <c r="A200" s="13" t="s">
        <v>867</v>
      </c>
      <c r="B200" s="12" t="s">
        <v>868</v>
      </c>
      <c r="C200" s="12" t="s">
        <v>869</v>
      </c>
      <c r="D200" s="21" t="s">
        <v>870</v>
      </c>
      <c r="E200" s="21"/>
      <c r="F200" s="21"/>
      <c r="G200" s="21"/>
      <c r="H200" s="14">
        <v>46310</v>
      </c>
      <c r="I200" s="13" t="s">
        <v>26</v>
      </c>
      <c r="J200" s="12" t="s">
        <v>997</v>
      </c>
    </row>
    <row r="201" spans="1:10" ht="60" customHeight="1">
      <c r="A201" s="13" t="s">
        <v>871</v>
      </c>
      <c r="B201" s="12" t="s">
        <v>872</v>
      </c>
      <c r="C201" s="12" t="s">
        <v>873</v>
      </c>
      <c r="D201" s="21" t="s">
        <v>874</v>
      </c>
      <c r="E201" s="21"/>
      <c r="F201" s="21"/>
      <c r="G201" s="21"/>
      <c r="H201" s="14">
        <v>46310</v>
      </c>
      <c r="I201" s="13" t="s">
        <v>26</v>
      </c>
      <c r="J201" s="12" t="s">
        <v>998</v>
      </c>
    </row>
    <row r="202" spans="1:10" ht="60" customHeight="1">
      <c r="A202" s="13" t="s">
        <v>875</v>
      </c>
      <c r="B202" s="12" t="s">
        <v>876</v>
      </c>
      <c r="C202" s="12" t="s">
        <v>877</v>
      </c>
      <c r="D202" s="21" t="s">
        <v>878</v>
      </c>
      <c r="E202" s="21"/>
      <c r="F202" s="21"/>
      <c r="G202" s="21"/>
      <c r="H202" s="14">
        <v>46310</v>
      </c>
      <c r="I202" s="13" t="s">
        <v>26</v>
      </c>
      <c r="J202" s="12" t="s">
        <v>999</v>
      </c>
    </row>
    <row r="203" spans="1:10" ht="60" customHeight="1">
      <c r="A203" s="13" t="s">
        <v>879</v>
      </c>
      <c r="B203" s="12" t="s">
        <v>880</v>
      </c>
      <c r="C203" s="12" t="s">
        <v>881</v>
      </c>
      <c r="D203" s="21" t="s">
        <v>882</v>
      </c>
      <c r="E203" s="21"/>
      <c r="F203" s="21"/>
      <c r="G203" s="21"/>
      <c r="H203" s="14">
        <v>46310</v>
      </c>
      <c r="I203" s="13" t="s">
        <v>26</v>
      </c>
      <c r="J203" s="12" t="s">
        <v>1000</v>
      </c>
    </row>
    <row r="204" spans="1:10" ht="60" customHeight="1">
      <c r="A204" s="13" t="s">
        <v>883</v>
      </c>
      <c r="B204" s="12" t="s">
        <v>884</v>
      </c>
      <c r="C204" s="12" t="s">
        <v>885</v>
      </c>
      <c r="D204" s="21" t="s">
        <v>886</v>
      </c>
      <c r="E204" s="21"/>
      <c r="F204" s="21"/>
      <c r="G204" s="21"/>
      <c r="H204" s="14">
        <v>46310</v>
      </c>
      <c r="I204" s="13" t="s">
        <v>26</v>
      </c>
      <c r="J204" s="12" t="s">
        <v>1001</v>
      </c>
    </row>
    <row r="205" spans="1:10" ht="73.05" customHeight="1">
      <c r="A205" s="13" t="s">
        <v>887</v>
      </c>
      <c r="B205" s="12" t="s">
        <v>888</v>
      </c>
      <c r="C205" s="12" t="s">
        <v>889</v>
      </c>
      <c r="D205" s="21" t="s">
        <v>890</v>
      </c>
      <c r="E205" s="21"/>
      <c r="F205" s="21"/>
      <c r="G205" s="21"/>
      <c r="H205" s="14">
        <v>46310</v>
      </c>
      <c r="I205" s="13" t="s">
        <v>26</v>
      </c>
      <c r="J205" s="12" t="s">
        <v>1002</v>
      </c>
    </row>
    <row r="206" spans="1:10" ht="24" customHeight="1">
      <c r="A206" s="22" t="s">
        <v>891</v>
      </c>
      <c r="B206" s="22"/>
      <c r="C206" s="22"/>
      <c r="D206" s="22"/>
      <c r="E206" s="22"/>
      <c r="F206" s="22"/>
      <c r="G206" s="22"/>
      <c r="H206" s="22"/>
      <c r="I206" s="22"/>
      <c r="J206" s="22"/>
    </row>
    <row r="207" spans="1:10" ht="73.05" customHeight="1">
      <c r="A207" s="13" t="s">
        <v>892</v>
      </c>
      <c r="B207" s="12" t="s">
        <v>893</v>
      </c>
      <c r="C207" s="12" t="s">
        <v>894</v>
      </c>
      <c r="D207" s="21" t="s">
        <v>895</v>
      </c>
      <c r="E207" s="21"/>
      <c r="F207" s="21"/>
      <c r="G207" s="21"/>
      <c r="H207" s="14">
        <v>46310</v>
      </c>
      <c r="I207" s="13" t="s">
        <v>26</v>
      </c>
      <c r="J207" s="12" t="s">
        <v>1003</v>
      </c>
    </row>
    <row r="208" spans="1:10" ht="60" customHeight="1">
      <c r="A208" s="13" t="s">
        <v>896</v>
      </c>
      <c r="B208" s="12" t="s">
        <v>897</v>
      </c>
      <c r="C208" s="12" t="s">
        <v>898</v>
      </c>
      <c r="D208" s="21" t="s">
        <v>899</v>
      </c>
      <c r="E208" s="21"/>
      <c r="F208" s="21"/>
      <c r="G208" s="21"/>
      <c r="H208" s="14">
        <v>46310</v>
      </c>
      <c r="I208" s="13" t="s">
        <v>26</v>
      </c>
      <c r="J208" s="12" t="s">
        <v>1004</v>
      </c>
    </row>
    <row r="209" spans="1:10" ht="60" customHeight="1">
      <c r="A209" s="13" t="s">
        <v>900</v>
      </c>
      <c r="B209" s="12" t="s">
        <v>901</v>
      </c>
      <c r="C209" s="12" t="s">
        <v>902</v>
      </c>
      <c r="D209" s="21" t="s">
        <v>903</v>
      </c>
      <c r="E209" s="21"/>
      <c r="F209" s="21"/>
      <c r="G209" s="21"/>
      <c r="H209" s="14">
        <v>46310</v>
      </c>
      <c r="I209" s="13" t="s">
        <v>26</v>
      </c>
      <c r="J209" s="12" t="s">
        <v>1005</v>
      </c>
    </row>
    <row r="210" spans="1:10" ht="60" customHeight="1">
      <c r="A210" s="13" t="s">
        <v>904</v>
      </c>
      <c r="B210" s="12" t="s">
        <v>905</v>
      </c>
      <c r="C210" s="12" t="s">
        <v>906</v>
      </c>
      <c r="D210" s="21" t="s">
        <v>907</v>
      </c>
      <c r="E210" s="21"/>
      <c r="F210" s="21"/>
      <c r="G210" s="21"/>
      <c r="H210" s="14">
        <v>46310</v>
      </c>
      <c r="I210" s="13" t="s">
        <v>26</v>
      </c>
      <c r="J210" s="12" t="s">
        <v>1006</v>
      </c>
    </row>
    <row r="211" spans="1:10" ht="60" customHeight="1">
      <c r="A211" s="13" t="s">
        <v>908</v>
      </c>
      <c r="B211" s="12" t="s">
        <v>909</v>
      </c>
      <c r="C211" s="12" t="s">
        <v>910</v>
      </c>
      <c r="D211" s="21" t="s">
        <v>911</v>
      </c>
      <c r="E211" s="21"/>
      <c r="F211" s="21"/>
      <c r="G211" s="21"/>
      <c r="H211" s="14">
        <v>46310</v>
      </c>
      <c r="I211" s="13" t="s">
        <v>26</v>
      </c>
      <c r="J211" s="12" t="s">
        <v>912</v>
      </c>
    </row>
    <row r="212" spans="1:10" ht="73.05" customHeight="1">
      <c r="A212" s="13" t="s">
        <v>913</v>
      </c>
      <c r="B212" s="12" t="s">
        <v>914</v>
      </c>
      <c r="C212" s="12" t="s">
        <v>915</v>
      </c>
      <c r="D212" s="21" t="s">
        <v>916</v>
      </c>
      <c r="E212" s="21"/>
      <c r="F212" s="21"/>
      <c r="G212" s="21"/>
      <c r="H212" s="14">
        <v>46310</v>
      </c>
      <c r="I212" s="13" t="s">
        <v>26</v>
      </c>
      <c r="J212" s="12" t="s">
        <v>917</v>
      </c>
    </row>
    <row r="213" spans="1:10" ht="60" customHeight="1">
      <c r="A213" s="13" t="s">
        <v>918</v>
      </c>
      <c r="B213" s="12" t="s">
        <v>919</v>
      </c>
      <c r="C213" s="12" t="s">
        <v>920</v>
      </c>
      <c r="D213" s="21" t="s">
        <v>921</v>
      </c>
      <c r="E213" s="21"/>
      <c r="F213" s="21"/>
      <c r="G213" s="21"/>
      <c r="H213" s="14">
        <v>46310</v>
      </c>
      <c r="I213" s="13" t="s">
        <v>26</v>
      </c>
      <c r="J213" s="12" t="s">
        <v>1007</v>
      </c>
    </row>
    <row r="214" spans="1:10" ht="60" customHeight="1">
      <c r="A214" s="13" t="s">
        <v>922</v>
      </c>
      <c r="B214" s="12" t="s">
        <v>923</v>
      </c>
      <c r="C214" s="12" t="s">
        <v>924</v>
      </c>
      <c r="D214" s="21" t="s">
        <v>925</v>
      </c>
      <c r="E214" s="21"/>
      <c r="F214" s="21"/>
      <c r="G214" s="21"/>
      <c r="H214" s="14">
        <v>46310</v>
      </c>
      <c r="I214" s="13" t="s">
        <v>26</v>
      </c>
      <c r="J214" s="12" t="s">
        <v>1008</v>
      </c>
    </row>
    <row r="215" spans="1:10" ht="60" customHeight="1">
      <c r="A215" s="13" t="s">
        <v>926</v>
      </c>
      <c r="B215" s="12" t="s">
        <v>927</v>
      </c>
      <c r="C215" s="12" t="s">
        <v>928</v>
      </c>
      <c r="D215" s="21" t="s">
        <v>929</v>
      </c>
      <c r="E215" s="21"/>
      <c r="F215" s="21"/>
      <c r="G215" s="21"/>
      <c r="H215" s="14">
        <v>46310</v>
      </c>
      <c r="I215" s="13" t="s">
        <v>28</v>
      </c>
      <c r="J215" s="12" t="s">
        <v>1009</v>
      </c>
    </row>
    <row r="216" spans="1:10" ht="60" customHeight="1">
      <c r="A216" s="13" t="s">
        <v>930</v>
      </c>
      <c r="B216" s="12" t="s">
        <v>931</v>
      </c>
      <c r="C216" s="12" t="s">
        <v>932</v>
      </c>
      <c r="D216" s="21" t="s">
        <v>933</v>
      </c>
      <c r="E216" s="21"/>
      <c r="F216" s="21"/>
      <c r="G216" s="21"/>
      <c r="H216" s="14">
        <v>46310</v>
      </c>
      <c r="I216" s="13" t="s">
        <v>26</v>
      </c>
      <c r="J216" s="12" t="s">
        <v>1010</v>
      </c>
    </row>
  </sheetData>
  <autoFilter ref="I1:I216" xr:uid="{00000000-0001-0000-0100-000000000000}"/>
  <mergeCells count="207">
    <mergeCell ref="A1:J1"/>
    <mergeCell ref="D9:G9"/>
    <mergeCell ref="A12:J12"/>
    <mergeCell ref="D13:G13"/>
    <mergeCell ref="D14:G14"/>
    <mergeCell ref="D15:G15"/>
    <mergeCell ref="D16:G16"/>
    <mergeCell ref="D17:G17"/>
    <mergeCell ref="D18:G18"/>
    <mergeCell ref="A19:J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A35:J35"/>
    <mergeCell ref="D36:G36"/>
    <mergeCell ref="D37:G37"/>
    <mergeCell ref="D38:G38"/>
    <mergeCell ref="D39:G39"/>
    <mergeCell ref="D40:G40"/>
    <mergeCell ref="D41:G41"/>
    <mergeCell ref="D42:G42"/>
    <mergeCell ref="D43:G43"/>
    <mergeCell ref="A44:J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A57:J57"/>
    <mergeCell ref="D58:G58"/>
    <mergeCell ref="D59:G59"/>
    <mergeCell ref="D60:G60"/>
    <mergeCell ref="D61:G61"/>
    <mergeCell ref="D62:G62"/>
    <mergeCell ref="A63:J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A74:J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A85:J85"/>
    <mergeCell ref="D86:G86"/>
    <mergeCell ref="D87:G87"/>
    <mergeCell ref="D88:G88"/>
    <mergeCell ref="D89:G89"/>
    <mergeCell ref="D90:G90"/>
    <mergeCell ref="D91:G91"/>
    <mergeCell ref="D92:G92"/>
    <mergeCell ref="D93:G93"/>
    <mergeCell ref="D94:G94"/>
    <mergeCell ref="D95:G95"/>
    <mergeCell ref="D96:G96"/>
    <mergeCell ref="D97:G97"/>
    <mergeCell ref="A98:J98"/>
    <mergeCell ref="D99:G99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D108:G108"/>
    <mergeCell ref="A109:J109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A124:J124"/>
    <mergeCell ref="D125:G125"/>
    <mergeCell ref="D126:G126"/>
    <mergeCell ref="D127:G127"/>
    <mergeCell ref="D128:G128"/>
    <mergeCell ref="D129:G129"/>
    <mergeCell ref="D130:G130"/>
    <mergeCell ref="D131:G131"/>
    <mergeCell ref="D132:G132"/>
    <mergeCell ref="A133:J133"/>
    <mergeCell ref="D134:G134"/>
    <mergeCell ref="D135:G135"/>
    <mergeCell ref="D136:G136"/>
    <mergeCell ref="D137:G137"/>
    <mergeCell ref="D138:G138"/>
    <mergeCell ref="D139:G139"/>
    <mergeCell ref="D140:G140"/>
    <mergeCell ref="D141:G141"/>
    <mergeCell ref="D142:G142"/>
    <mergeCell ref="D143:G143"/>
    <mergeCell ref="D144:G144"/>
    <mergeCell ref="D145:G145"/>
    <mergeCell ref="D146:G146"/>
    <mergeCell ref="D147:G147"/>
    <mergeCell ref="D148:G148"/>
    <mergeCell ref="D149:G149"/>
    <mergeCell ref="D150:G150"/>
    <mergeCell ref="D151:G151"/>
    <mergeCell ref="D152:G152"/>
    <mergeCell ref="D153:G153"/>
    <mergeCell ref="D154:G154"/>
    <mergeCell ref="D155:G155"/>
    <mergeCell ref="D156:G156"/>
    <mergeCell ref="D157:G157"/>
    <mergeCell ref="A158:J158"/>
    <mergeCell ref="D159:G159"/>
    <mergeCell ref="D160:G160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0:G170"/>
    <mergeCell ref="D171:G171"/>
    <mergeCell ref="A172:J172"/>
    <mergeCell ref="D173:G173"/>
    <mergeCell ref="D174:G174"/>
    <mergeCell ref="D175:G175"/>
    <mergeCell ref="D176:G176"/>
    <mergeCell ref="D177:G177"/>
    <mergeCell ref="D178:G178"/>
    <mergeCell ref="D179:G179"/>
    <mergeCell ref="D180:G180"/>
    <mergeCell ref="D181:G181"/>
    <mergeCell ref="D182:G182"/>
    <mergeCell ref="D183:G183"/>
    <mergeCell ref="D184:G184"/>
    <mergeCell ref="A185:J185"/>
    <mergeCell ref="D186:G186"/>
    <mergeCell ref="D187:G187"/>
    <mergeCell ref="D188:G188"/>
    <mergeCell ref="D189:G189"/>
    <mergeCell ref="D190:G190"/>
    <mergeCell ref="D191:G191"/>
    <mergeCell ref="D192:G192"/>
    <mergeCell ref="D193:G193"/>
    <mergeCell ref="A194:J194"/>
    <mergeCell ref="D195:G195"/>
    <mergeCell ref="D196:G196"/>
    <mergeCell ref="D197:G197"/>
    <mergeCell ref="D198:G198"/>
    <mergeCell ref="D199:G199"/>
    <mergeCell ref="D200:G200"/>
    <mergeCell ref="D201:G201"/>
    <mergeCell ref="D202:G202"/>
    <mergeCell ref="D203:G203"/>
    <mergeCell ref="D204:G204"/>
    <mergeCell ref="D205:G205"/>
    <mergeCell ref="A206:J206"/>
    <mergeCell ref="D207:G207"/>
    <mergeCell ref="D208:G208"/>
    <mergeCell ref="D209:G209"/>
    <mergeCell ref="D215:G215"/>
    <mergeCell ref="D216:G216"/>
    <mergeCell ref="D210:G210"/>
    <mergeCell ref="D211:G211"/>
    <mergeCell ref="D212:G212"/>
    <mergeCell ref="D213:G213"/>
    <mergeCell ref="D214:G214"/>
  </mergeCells>
  <conditionalFormatting sqref="I12:I216">
    <cfRule type="containsText" dxfId="2" priority="1" operator="containsText" text="Pass"/>
    <cfRule type="containsText" dxfId="1" priority="2" operator="containsText" text="Fail"/>
    <cfRule type="containsText" dxfId="0" priority="3" operator="containsText" text="Pending"/>
  </conditionalFormatting>
  <dataValidations count="1">
    <dataValidation type="list" sqref="I13:I18 I207:I216 I195:I205 I186:I193 I173:I184 I159:I171 I134:I157 I125:I132 I110:I123 I99:I108 I86:I97 I75:I84 I64:I73 I58:I62 I45:I56 I36:I43 I20:I34" xr:uid="{00000000-0002-0000-0100-000000000000}">
      <formula1>"Pass,Fail,Pending"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zoomScale="80" zoomScaleNormal="80" workbookViewId="0">
      <pane ySplit="7" topLeftCell="A20" activePane="bottomLeft" state="frozen"/>
      <selection pane="bottomLeft" activeCell="N40" sqref="N40"/>
    </sheetView>
  </sheetViews>
  <sheetFormatPr defaultRowHeight="13.5"/>
  <cols>
    <col min="1" max="1" width="4" customWidth="1"/>
    <col min="2" max="2" width="10" customWidth="1"/>
    <col min="3" max="3" width="46" customWidth="1"/>
    <col min="4" max="6" width="12" customWidth="1"/>
    <col min="7" max="7" width="22" customWidth="1"/>
  </cols>
  <sheetData>
    <row r="1" spans="1:7" ht="32" customHeight="1">
      <c r="A1" s="23" t="s">
        <v>934</v>
      </c>
      <c r="B1" s="23"/>
      <c r="C1" s="23"/>
      <c r="D1" s="23"/>
      <c r="E1" s="23"/>
      <c r="F1" s="23"/>
      <c r="G1" s="23"/>
    </row>
    <row r="3" spans="1:7">
      <c r="B3" t="s">
        <v>935</v>
      </c>
      <c r="C3" t="s">
        <v>1011</v>
      </c>
    </row>
    <row r="4" spans="1:7">
      <c r="B4" t="s">
        <v>936</v>
      </c>
      <c r="C4" s="17">
        <v>46310</v>
      </c>
    </row>
    <row r="7" spans="1:7" ht="36" customHeight="1">
      <c r="B7" s="6" t="s">
        <v>937</v>
      </c>
      <c r="C7" s="6" t="s">
        <v>938</v>
      </c>
      <c r="D7" s="6" t="s">
        <v>26</v>
      </c>
      <c r="E7" s="6" t="s">
        <v>28</v>
      </c>
      <c r="F7" s="6" t="s">
        <v>27</v>
      </c>
      <c r="G7" s="6" t="s">
        <v>939</v>
      </c>
    </row>
    <row r="8" spans="1:7" ht="26" customHeight="1">
      <c r="B8" s="18">
        <v>1</v>
      </c>
      <c r="C8" s="5" t="s">
        <v>940</v>
      </c>
      <c r="D8" s="18">
        <f>COUNTIF('TechStore Test Cases'!I13:I18,"Pass")</f>
        <v>6</v>
      </c>
      <c r="E8" s="18">
        <f>COUNTIF('TechStore Test Cases'!I13:I18,"Fail")</f>
        <v>0</v>
      </c>
      <c r="F8" s="18">
        <f>COUNTIF('TechStore Test Cases'!I13:I18,"Pending")</f>
        <v>0</v>
      </c>
      <c r="G8" s="18">
        <f>COUNTA('TechStore Test Cases'!A13:A18)</f>
        <v>6</v>
      </c>
    </row>
    <row r="9" spans="1:7" ht="26" customHeight="1">
      <c r="B9" s="18">
        <v>2</v>
      </c>
      <c r="C9" s="5" t="s">
        <v>941</v>
      </c>
      <c r="D9" s="18">
        <f>COUNTIF('TechStore Test Cases'!I20:I34,"Pass")</f>
        <v>15</v>
      </c>
      <c r="E9" s="18">
        <f>COUNTIF('TechStore Test Cases'!I20:I34,"Fail")</f>
        <v>0</v>
      </c>
      <c r="F9" s="18">
        <f>COUNTIF('TechStore Test Cases'!I20:I34,"Pending")</f>
        <v>0</v>
      </c>
      <c r="G9" s="18">
        <f>COUNTA('TechStore Test Cases'!A20:A34)</f>
        <v>15</v>
      </c>
    </row>
    <row r="10" spans="1:7" ht="26" customHeight="1">
      <c r="B10" s="18">
        <v>3</v>
      </c>
      <c r="C10" s="5" t="s">
        <v>942</v>
      </c>
      <c r="D10" s="18">
        <f>COUNTIF('TechStore Test Cases'!I36:I43,"Pass")</f>
        <v>8</v>
      </c>
      <c r="E10" s="18">
        <f>COUNTIF('TechStore Test Cases'!I36:I43,"Fail")</f>
        <v>0</v>
      </c>
      <c r="F10" s="18">
        <f>COUNTIF('TechStore Test Cases'!I36:I43,"Pending")</f>
        <v>0</v>
      </c>
      <c r="G10" s="18">
        <f>COUNTA('TechStore Test Cases'!A36:A43)</f>
        <v>8</v>
      </c>
    </row>
    <row r="11" spans="1:7" ht="26" customHeight="1">
      <c r="B11" s="18">
        <v>4</v>
      </c>
      <c r="C11" s="5" t="s">
        <v>943</v>
      </c>
      <c r="D11" s="18">
        <f>COUNTIF('TechStore Test Cases'!I45:I56,"Pass")</f>
        <v>11</v>
      </c>
      <c r="E11" s="18">
        <f>COUNTIF('TechStore Test Cases'!I45:I56,"Fail")</f>
        <v>1</v>
      </c>
      <c r="F11" s="18">
        <f>COUNTIF('TechStore Test Cases'!I45:I56,"Pending")</f>
        <v>0</v>
      </c>
      <c r="G11" s="18">
        <f>COUNTA('TechStore Test Cases'!A45:A56)</f>
        <v>12</v>
      </c>
    </row>
    <row r="12" spans="1:7" ht="26" customHeight="1">
      <c r="B12" s="18">
        <v>5</v>
      </c>
      <c r="C12" s="5" t="s">
        <v>944</v>
      </c>
      <c r="D12" s="18">
        <f>COUNTIF('TechStore Test Cases'!I58:I62,"Pass")</f>
        <v>4</v>
      </c>
      <c r="E12" s="18">
        <f>COUNTIF('TechStore Test Cases'!I58:I62,"Fail")</f>
        <v>1</v>
      </c>
      <c r="F12" s="18">
        <f>COUNTIF('TechStore Test Cases'!I58:I62,"Pending")</f>
        <v>0</v>
      </c>
      <c r="G12" s="18">
        <f>COUNTA('TechStore Test Cases'!A58:A62)</f>
        <v>5</v>
      </c>
    </row>
    <row r="13" spans="1:7" ht="26" customHeight="1">
      <c r="B13" s="18">
        <v>6</v>
      </c>
      <c r="C13" s="5" t="s">
        <v>945</v>
      </c>
      <c r="D13" s="18">
        <f>COUNTIF('TechStore Test Cases'!I64:I73,"Pass")</f>
        <v>10</v>
      </c>
      <c r="E13" s="18">
        <f>COUNTIF('TechStore Test Cases'!I64:I73,"Fail")</f>
        <v>0</v>
      </c>
      <c r="F13" s="18">
        <f>COUNTIF('TechStore Test Cases'!I64:I73,"Pending")</f>
        <v>0</v>
      </c>
      <c r="G13" s="18">
        <f>COUNTA('TechStore Test Cases'!A64:A73)</f>
        <v>10</v>
      </c>
    </row>
    <row r="14" spans="1:7" ht="26" customHeight="1">
      <c r="B14" s="18">
        <v>7</v>
      </c>
      <c r="C14" s="5" t="s">
        <v>946</v>
      </c>
      <c r="D14" s="18">
        <f>COUNTIF('TechStore Test Cases'!I75:I84,"Pass")</f>
        <v>10</v>
      </c>
      <c r="E14" s="18">
        <f>COUNTIF('TechStore Test Cases'!I75:I84,"Fail")</f>
        <v>0</v>
      </c>
      <c r="F14" s="18">
        <f>COUNTIF('TechStore Test Cases'!I75:I84,"Pending")</f>
        <v>0</v>
      </c>
      <c r="G14" s="18">
        <f>COUNTA('TechStore Test Cases'!A75:A84)</f>
        <v>10</v>
      </c>
    </row>
    <row r="15" spans="1:7" ht="26" customHeight="1">
      <c r="B15" s="18">
        <v>8</v>
      </c>
      <c r="C15" s="5" t="s">
        <v>947</v>
      </c>
      <c r="D15" s="18">
        <f>COUNTIF('TechStore Test Cases'!I86:I97,"Pass")</f>
        <v>12</v>
      </c>
      <c r="E15" s="18">
        <f>COUNTIF('TechStore Test Cases'!I86:I97,"Fail")</f>
        <v>0</v>
      </c>
      <c r="F15" s="18">
        <f>COUNTIF('TechStore Test Cases'!I86:I97,"Pending")</f>
        <v>0</v>
      </c>
      <c r="G15" s="18">
        <f>COUNTA('TechStore Test Cases'!A86:A97)</f>
        <v>12</v>
      </c>
    </row>
    <row r="16" spans="1:7" ht="26" customHeight="1">
      <c r="B16" s="18">
        <v>9</v>
      </c>
      <c r="C16" s="5" t="s">
        <v>948</v>
      </c>
      <c r="D16" s="18">
        <f>COUNTIF('TechStore Test Cases'!I99:I108,"Pass")</f>
        <v>10</v>
      </c>
      <c r="E16" s="18">
        <f>COUNTIF('TechStore Test Cases'!I99:I108,"Fail")</f>
        <v>0</v>
      </c>
      <c r="F16" s="18">
        <f>COUNTIF('TechStore Test Cases'!I99:I108,"Pending")</f>
        <v>0</v>
      </c>
      <c r="G16" s="18">
        <f>COUNTA('TechStore Test Cases'!A99:A108)</f>
        <v>10</v>
      </c>
    </row>
    <row r="17" spans="2:7" ht="26" customHeight="1">
      <c r="B17" s="18">
        <v>10</v>
      </c>
      <c r="C17" s="5" t="s">
        <v>949</v>
      </c>
      <c r="D17" s="18">
        <f>COUNTIF('TechStore Test Cases'!I110:I123,"Pass")</f>
        <v>13</v>
      </c>
      <c r="E17" s="18">
        <f>COUNTIF('TechStore Test Cases'!I110:I123,"Fail")</f>
        <v>1</v>
      </c>
      <c r="F17" s="18">
        <f>COUNTIF('TechStore Test Cases'!I110:I123,"Pending")</f>
        <v>0</v>
      </c>
      <c r="G17" s="18">
        <f>COUNTA('TechStore Test Cases'!A110:A123)</f>
        <v>14</v>
      </c>
    </row>
    <row r="18" spans="2:7" ht="26" customHeight="1">
      <c r="B18" s="18">
        <v>11</v>
      </c>
      <c r="C18" s="5" t="s">
        <v>950</v>
      </c>
      <c r="D18" s="18">
        <f>COUNTIF('TechStore Test Cases'!I125:I132,"Pass")</f>
        <v>8</v>
      </c>
      <c r="E18" s="18">
        <f>COUNTIF('TechStore Test Cases'!I125:I132,"Fail")</f>
        <v>0</v>
      </c>
      <c r="F18" s="18">
        <f>COUNTIF('TechStore Test Cases'!I125:I132,"Pending")</f>
        <v>0</v>
      </c>
      <c r="G18" s="18">
        <f>COUNTA('TechStore Test Cases'!A125:A132)</f>
        <v>8</v>
      </c>
    </row>
    <row r="19" spans="2:7" ht="26" customHeight="1">
      <c r="B19" s="18">
        <v>12</v>
      </c>
      <c r="C19" s="5" t="s">
        <v>951</v>
      </c>
      <c r="D19" s="18">
        <f>COUNTIF('TechStore Test Cases'!I134:I157,"Pass")</f>
        <v>24</v>
      </c>
      <c r="E19" s="18">
        <f>COUNTIF('TechStore Test Cases'!I134:I157,"Fail")</f>
        <v>0</v>
      </c>
      <c r="F19" s="18">
        <f>COUNTIF('TechStore Test Cases'!I134:I157,"Pending")</f>
        <v>0</v>
      </c>
      <c r="G19" s="18">
        <f>COUNTA('TechStore Test Cases'!A134:A157)</f>
        <v>24</v>
      </c>
    </row>
    <row r="20" spans="2:7" ht="26" customHeight="1">
      <c r="B20" s="18">
        <v>13</v>
      </c>
      <c r="C20" s="5" t="s">
        <v>952</v>
      </c>
      <c r="D20" s="18">
        <f>COUNTIF('TechStore Test Cases'!I159:I171,"Pass")</f>
        <v>13</v>
      </c>
      <c r="E20" s="18">
        <f>COUNTIF('TechStore Test Cases'!I159:I171,"Fail")</f>
        <v>0</v>
      </c>
      <c r="F20" s="18">
        <f>COUNTIF('TechStore Test Cases'!I159:I171,"Pending")</f>
        <v>0</v>
      </c>
      <c r="G20" s="18">
        <f>COUNTA('TechStore Test Cases'!A159:A171)</f>
        <v>13</v>
      </c>
    </row>
    <row r="21" spans="2:7" ht="26" customHeight="1">
      <c r="B21" s="18">
        <v>14</v>
      </c>
      <c r="C21" s="5" t="s">
        <v>953</v>
      </c>
      <c r="D21" s="18">
        <f>COUNTIF('TechStore Test Cases'!I173:I184,"Pass")</f>
        <v>9</v>
      </c>
      <c r="E21" s="18">
        <f>COUNTIF('TechStore Test Cases'!I173:I184,"Fail")</f>
        <v>3</v>
      </c>
      <c r="F21" s="18">
        <f>COUNTIF('TechStore Test Cases'!I173:I184,"Pending")</f>
        <v>0</v>
      </c>
      <c r="G21" s="18">
        <f>COUNTA('TechStore Test Cases'!A173:A184)</f>
        <v>12</v>
      </c>
    </row>
    <row r="22" spans="2:7" ht="26" customHeight="1">
      <c r="B22" s="18">
        <v>15</v>
      </c>
      <c r="C22" s="5" t="s">
        <v>954</v>
      </c>
      <c r="D22" s="18">
        <f>COUNTIF('TechStore Test Cases'!I186:I193,"Pass")</f>
        <v>7</v>
      </c>
      <c r="E22" s="18">
        <f>COUNTIF('TechStore Test Cases'!I186:I193,"Fail")</f>
        <v>1</v>
      </c>
      <c r="F22" s="18">
        <f>COUNTIF('TechStore Test Cases'!I186:I193,"Pending")</f>
        <v>0</v>
      </c>
      <c r="G22" s="18">
        <f>COUNTA('TechStore Test Cases'!A186:A193)</f>
        <v>8</v>
      </c>
    </row>
    <row r="23" spans="2:7" ht="26" customHeight="1">
      <c r="B23" s="18">
        <v>16</v>
      </c>
      <c r="C23" s="5" t="s">
        <v>955</v>
      </c>
      <c r="D23" s="18">
        <f>COUNTIF('TechStore Test Cases'!I195:I205,"Pass")</f>
        <v>10</v>
      </c>
      <c r="E23" s="18">
        <f>COUNTIF('TechStore Test Cases'!I195:I205,"Fail")</f>
        <v>1</v>
      </c>
      <c r="F23" s="18">
        <f>COUNTIF('TechStore Test Cases'!I195:I205,"Pending")</f>
        <v>0</v>
      </c>
      <c r="G23" s="18">
        <f>COUNTA('TechStore Test Cases'!A195:A205)</f>
        <v>11</v>
      </c>
    </row>
    <row r="24" spans="2:7" ht="26" customHeight="1">
      <c r="B24" s="18">
        <v>17</v>
      </c>
      <c r="C24" s="5" t="s">
        <v>956</v>
      </c>
      <c r="D24" s="18">
        <f>COUNTIF('TechStore Test Cases'!I207:I216,"Pass")</f>
        <v>9</v>
      </c>
      <c r="E24" s="18">
        <f>COUNTIF('TechStore Test Cases'!I207:I216,"Fail")</f>
        <v>1</v>
      </c>
      <c r="F24" s="18">
        <f>COUNTIF('TechStore Test Cases'!I207:I216,"Pending")</f>
        <v>0</v>
      </c>
      <c r="G24" s="18">
        <f>COUNTA('TechStore Test Cases'!A207:A216)</f>
        <v>10</v>
      </c>
    </row>
    <row r="26" spans="2:7">
      <c r="C26" s="19" t="s">
        <v>957</v>
      </c>
      <c r="D26" s="19">
        <f>SUM(D8:D24)</f>
        <v>179</v>
      </c>
      <c r="E26" s="19">
        <f>SUM(E8:E24)</f>
        <v>9</v>
      </c>
      <c r="F26" s="19">
        <f>SUM(F8:F24)</f>
        <v>0</v>
      </c>
      <c r="G26" s="19">
        <f>SUM(G8:G24)</f>
        <v>188</v>
      </c>
    </row>
    <row r="28" spans="2:7" ht="15">
      <c r="C28" s="11" t="s">
        <v>958</v>
      </c>
      <c r="D28" s="11"/>
      <c r="E28" s="20">
        <f>IF(G26=0,0,(D26+E26)*100/G26)</f>
        <v>100</v>
      </c>
      <c r="F28" s="11" t="s">
        <v>959</v>
      </c>
    </row>
    <row r="29" spans="2:7" ht="15">
      <c r="C29" s="11" t="s">
        <v>960</v>
      </c>
      <c r="D29" s="11"/>
      <c r="E29" s="20">
        <f>IF(G26=0,0,D26*100/G26)</f>
        <v>95.212765957446805</v>
      </c>
      <c r="F29" s="11" t="s">
        <v>959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TechStore Test Cases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Quỳnh Anh</cp:lastModifiedBy>
  <dcterms:modified xsi:type="dcterms:W3CDTF">2026-10-23T01:47:47Z</dcterms:modified>
</cp:coreProperties>
</file>